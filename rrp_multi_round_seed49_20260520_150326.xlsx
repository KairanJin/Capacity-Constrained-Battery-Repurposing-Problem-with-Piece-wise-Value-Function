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ound_Results" sheetId="2" state="visible" r:id="rId2"/>
    <sheet name="Method_Summary" sheetId="3" state="visible" r:id="rId3"/>
    <sheet name="ChartData_CumReward" sheetId="4" state="visible" r:id="rId4"/>
    <sheet name="ChartData_TierCells" sheetId="5" state="visible" r:id="rId5"/>
    <sheet name="ChartData_Runtime" sheetId="6" state="visible" r:id="rId6"/>
    <sheet name="Char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五种算法每轮累计收益对比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'ChartData_CumReward'!B1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'ChartData_CumReward'!$A$2:$A$11</f>
            </numRef>
          </cat>
          <val>
            <numRef>
              <f>'ChartData_CumReward'!$B$2:$B$11</f>
            </numRef>
          </val>
        </ser>
        <ser>
          <idx val="1"/>
          <order val="1"/>
          <tx>
            <strRef>
              <f>'ChartData_CumReward'!C1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'ChartData_CumReward'!$A$2:$A$11</f>
            </numRef>
          </cat>
          <val>
            <numRef>
              <f>'ChartData_CumReward'!$C$2:$C$11</f>
            </numRef>
          </val>
        </ser>
        <ser>
          <idx val="2"/>
          <order val="2"/>
          <tx>
            <strRef>
              <f>'ChartData_CumReward'!D1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'ChartData_CumReward'!$A$2:$A$11</f>
            </numRef>
          </cat>
          <val>
            <numRef>
              <f>'ChartData_CumReward'!$D$2:$D$11</f>
            </numRef>
          </val>
        </ser>
        <ser>
          <idx val="3"/>
          <order val="3"/>
          <tx>
            <strRef>
              <f>'ChartData_CumReward'!E1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'ChartData_CumReward'!$A$2:$A$11</f>
            </numRef>
          </cat>
          <val>
            <numRef>
              <f>'ChartData_CumReward'!$E$2:$E$11</f>
            </numRef>
          </val>
        </ser>
        <ser>
          <idx val="4"/>
          <order val="4"/>
          <tx>
            <strRef>
              <f>'ChartData_CumReward'!F1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'ChartData_CumReward'!$A$2:$A$11</f>
            </numRef>
          </cat>
          <val>
            <numRef>
              <f>'ChartData_CumReward'!$F$2:$F$11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轮次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五种算法在20轮中的各类电芯重组总数量对比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'ChartData_TierCells'!B1</f>
            </strRef>
          </tx>
          <spPr>
            <a:ln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'ChartData_TierCells'!$B$2:$B$6</f>
            </numRef>
          </val>
        </ser>
        <ser>
          <idx val="1"/>
          <order val="1"/>
          <tx>
            <strRef>
              <f>'ChartData_TierCells'!C1</f>
            </strRef>
          </tx>
          <spPr>
            <a:ln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'ChartData_TierCells'!$C$2:$C$6</f>
            </numRef>
          </val>
        </ser>
        <ser>
          <idx val="2"/>
          <order val="2"/>
          <tx>
            <strRef>
              <f>'ChartData_TierCells'!D1</f>
            </strRef>
          </tx>
          <spPr>
            <a:ln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'ChartData_TierCells'!$D$2:$D$6</f>
            </numRef>
          </val>
        </ser>
        <ser>
          <idx val="3"/>
          <order val="3"/>
          <tx>
            <strRef>
              <f>'ChartData_TierCells'!E1</f>
            </strRef>
          </tx>
          <spPr>
            <a:ln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'ChartData_TierCells'!$E$2:$E$6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总重组电芯数量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算法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五种算法每轮运行时间对比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'ChartData_Runtime'!B1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'ChartData_Runtime'!$A$2:$A$11</f>
            </numRef>
          </cat>
          <val>
            <numRef>
              <f>'ChartData_Runtime'!$B$2:$B$11</f>
            </numRef>
          </val>
        </ser>
        <ser>
          <idx val="1"/>
          <order val="1"/>
          <tx>
            <strRef>
              <f>'ChartData_Runtime'!C1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'ChartData_Runtime'!$A$2:$A$11</f>
            </numRef>
          </cat>
          <val>
            <numRef>
              <f>'ChartData_Runtime'!$C$2:$C$11</f>
            </numRef>
          </val>
        </ser>
        <ser>
          <idx val="2"/>
          <order val="2"/>
          <tx>
            <strRef>
              <f>'ChartData_Runtime'!D1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'ChartData_Runtime'!$A$2:$A$11</f>
            </numRef>
          </cat>
          <val>
            <numRef>
              <f>'ChartData_Runtime'!$D$2:$D$11</f>
            </numRef>
          </val>
        </ser>
        <ser>
          <idx val="3"/>
          <order val="3"/>
          <tx>
            <strRef>
              <f>'ChartData_Runtime'!E1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'ChartData_Runtime'!$A$2:$A$11</f>
            </numRef>
          </cat>
          <val>
            <numRef>
              <f>'ChartData_Runtime'!$E$2:$E$11</f>
            </numRef>
          </val>
        </ser>
        <ser>
          <idx val="4"/>
          <order val="4"/>
          <tx>
            <strRef>
              <f>'ChartData_Runtime'!F1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'ChartData_Runtime'!$A$2:$A$11</f>
            </numRef>
          </cat>
          <val>
            <numRef>
              <f>'ChartData_Runtime'!$F$2:$F$11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轮次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运行时间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19</row>
      <rowOff>0</rowOff>
    </from>
    <ext cx="64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19</col>
      <colOff>0</colOff>
      <row>0</row>
      <rowOff>0</rowOff>
    </from>
    <ext cx="648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0" customWidth="1" min="1" max="1"/>
    <col width="25" customWidth="1" min="2" max="2"/>
  </cols>
  <sheetData>
    <row r="1">
      <c r="A1" s="1" t="inlineStr">
        <is>
          <t>20轮重组实验 Excel 模板</t>
        </is>
      </c>
    </row>
    <row r="3">
      <c r="A3" t="inlineStr">
        <is>
          <t>说明：</t>
        </is>
      </c>
    </row>
    <row r="4">
      <c r="A4" t="inlineStr">
        <is>
          <t>1. Round_Results 为逐轮明细表，后续可直接按相同列顺序粘贴数据。</t>
        </is>
      </c>
    </row>
    <row r="5">
      <c r="A5" t="inlineStr">
        <is>
          <t>2. ChartData_CumReward：五种算法每轮累计收益绘图数据。</t>
        </is>
      </c>
    </row>
    <row r="6">
      <c r="A6" t="inlineStr">
        <is>
          <t>3. ChartData_TierCells：五种算法20轮中各类电芯重组总数量绘图数据。</t>
        </is>
      </c>
    </row>
    <row r="7">
      <c r="A7" t="inlineStr">
        <is>
          <t>4. ChartData_Runtime：五种算法每轮运行时间绘图数据。</t>
        </is>
      </c>
    </row>
    <row r="8">
      <c r="A8" t="inlineStr">
        <is>
          <t>5. Charts 工作表内已预置三张图。</t>
        </is>
      </c>
    </row>
    <row r="10">
      <c r="A10" t="inlineStr">
        <is>
          <t>方法列表：</t>
        </is>
      </c>
    </row>
    <row r="11">
      <c r="A11" t="inlineStr">
        <is>
          <t>RRP_KMEANS</t>
        </is>
      </c>
      <c r="B11" t="inlineStr">
        <is>
          <t>KMeans</t>
        </is>
      </c>
    </row>
    <row r="12">
      <c r="A12" t="inlineStr">
        <is>
          <t>RRP_KMEANS_VNS</t>
        </is>
      </c>
      <c r="B12" t="inlineStr">
        <is>
          <t>KMeans_VNS</t>
        </is>
      </c>
    </row>
    <row r="13">
      <c r="A13" t="inlineStr">
        <is>
          <t>RRP_MS_KMEANS_VNS</t>
        </is>
      </c>
      <c r="B13" t="inlineStr">
        <is>
          <t>MS_KMeans_VNS</t>
        </is>
      </c>
    </row>
    <row r="14">
      <c r="A14" t="inlineStr">
        <is>
          <t>RRP_GA</t>
        </is>
      </c>
      <c r="B14" t="inlineStr">
        <is>
          <t>GA</t>
        </is>
      </c>
    </row>
    <row r="15">
      <c r="A15" t="inlineStr">
        <is>
          <t>RRP_SA</t>
        </is>
      </c>
      <c r="B15" t="inlineStr">
        <is>
          <t>SA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0" customWidth="1" min="3" max="3"/>
    <col width="12" customWidth="1" min="4" max="4"/>
    <col width="12" customWidth="1" min="5" max="5"/>
    <col width="14" customWidth="1" min="6" max="6"/>
    <col width="18" customWidth="1" min="7" max="7"/>
    <col width="12" customWidth="1" min="8" max="8"/>
    <col width="10" customWidth="1" min="9" max="9"/>
    <col width="12" customWidth="1" min="10" max="10"/>
    <col width="14" customWidth="1" min="11" max="11"/>
    <col width="14" customWidth="1" min="12" max="12"/>
    <col width="12" customWidth="1" min="13" max="13"/>
    <col width="12" customWidth="1" min="14" max="14"/>
    <col width="16" customWidth="1" min="15" max="15"/>
    <col width="1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28" customWidth="1" min="25" max="25"/>
    <col width="12" customWidth="1" min="26" max="26"/>
    <col width="12" customWidth="1" min="27" max="27"/>
    <col width="18" customWidth="1" min="28" max="28"/>
  </cols>
  <sheetData>
    <row r="1">
      <c r="A1" s="2" t="inlineStr">
        <is>
          <t>round</t>
        </is>
      </c>
      <c r="B1" s="2" t="inlineStr">
        <is>
          <t>method</t>
        </is>
      </c>
      <c r="C1" s="2" t="inlineStr">
        <is>
          <t>method_label</t>
        </is>
      </c>
      <c r="D1" s="2" t="inlineStr">
        <is>
          <t>new_cells</t>
        </is>
      </c>
      <c r="E1" s="2" t="inlineStr">
        <is>
          <t>pool_before</t>
        </is>
      </c>
      <c r="F1" s="2" t="inlineStr">
        <is>
          <t>reward</t>
        </is>
      </c>
      <c r="G1" s="2" t="inlineStr">
        <is>
          <t>cumulative_reward</t>
        </is>
      </c>
      <c r="H1" s="2" t="inlineStr">
        <is>
          <t>runtime</t>
        </is>
      </c>
      <c r="I1" s="2" t="inlineStr">
        <is>
          <t>n_packs</t>
        </is>
      </c>
      <c r="J1" s="2" t="inlineStr">
        <is>
          <t>used_cells</t>
        </is>
      </c>
      <c r="K1" s="2" t="inlineStr">
        <is>
          <t>leftover_cells</t>
        </is>
      </c>
      <c r="L1" s="2" t="inlineStr">
        <is>
          <t>utilization_rate</t>
        </is>
      </c>
      <c r="M1" s="2" t="inlineStr">
        <is>
          <t>avg_delta</t>
        </is>
      </c>
      <c r="N1" s="2" t="inlineStr">
        <is>
          <t>avg_phi</t>
        </is>
      </c>
      <c r="O1" s="2" t="inlineStr">
        <is>
          <t>reward_per_pack</t>
        </is>
      </c>
      <c r="P1" s="2" t="inlineStr">
        <is>
          <t>positive_pack_ratio</t>
        </is>
      </c>
      <c r="Q1" s="2" t="inlineStr">
        <is>
          <t>P1_packs</t>
        </is>
      </c>
      <c r="R1" s="2" t="inlineStr">
        <is>
          <t>P2_packs</t>
        </is>
      </c>
      <c r="S1" s="2" t="inlineStr">
        <is>
          <t>P3_packs</t>
        </is>
      </c>
      <c r="T1" s="2" t="inlineStr">
        <is>
          <t>P0_packs</t>
        </is>
      </c>
      <c r="U1" s="2" t="inlineStr">
        <is>
          <t>P1_cells</t>
        </is>
      </c>
      <c r="V1" s="2" t="inlineStr">
        <is>
          <t>P2_cells</t>
        </is>
      </c>
      <c r="W1" s="2" t="inlineStr">
        <is>
          <t>P3_cells</t>
        </is>
      </c>
      <c r="X1" s="2" t="inlineStr">
        <is>
          <t>P0_cells</t>
        </is>
      </c>
      <c r="Y1" s="2" t="inlineStr">
        <is>
          <t>tier_distribution</t>
        </is>
      </c>
      <c r="Z1" s="2" t="inlineStr">
        <is>
          <t>n_columns</t>
        </is>
      </c>
      <c r="AA1" s="2" t="inlineStr">
        <is>
          <t>gurobi_gap</t>
        </is>
      </c>
      <c r="AB1" s="2" t="inlineStr">
        <is>
          <t>n_feasible_groups</t>
        </is>
      </c>
    </row>
    <row r="2">
      <c r="A2" t="n">
        <v>1</v>
      </c>
      <c r="B2" t="inlineStr">
        <is>
          <t>RRP_KMEANS</t>
        </is>
      </c>
      <c r="C2" t="inlineStr">
        <is>
          <t>KMeans</t>
        </is>
      </c>
      <c r="D2" t="n">
        <v>500</v>
      </c>
      <c r="E2" t="n">
        <v>500</v>
      </c>
      <c r="F2" s="3" t="n">
        <v>296.7986976457663</v>
      </c>
      <c r="G2" s="3" t="n">
        <v>296.7986976457663</v>
      </c>
      <c r="H2" s="3" t="n">
        <v>0.08084780001081526</v>
      </c>
      <c r="I2" t="n">
        <v>60</v>
      </c>
      <c r="J2" t="n">
        <v>480</v>
      </c>
      <c r="K2" t="n">
        <v>20</v>
      </c>
      <c r="L2" s="4" t="n">
        <v>0.96</v>
      </c>
      <c r="M2" s="3" t="n">
        <v>0.06710078474458331</v>
      </c>
      <c r="N2" s="3" t="n">
        <v>0.02475345315076426</v>
      </c>
      <c r="O2" s="3" t="n">
        <v>4.946644960762772</v>
      </c>
      <c r="P2" s="4" t="n">
        <v>0.8</v>
      </c>
      <c r="Q2" t="n">
        <v>15</v>
      </c>
      <c r="R2" t="n">
        <v>16</v>
      </c>
      <c r="S2" t="n">
        <v>17</v>
      </c>
      <c r="T2" t="n">
        <v>12</v>
      </c>
      <c r="U2" t="n">
        <v>120</v>
      </c>
      <c r="V2" t="n">
        <v>128</v>
      </c>
      <c r="W2" t="n">
        <v>136</v>
      </c>
      <c r="X2" t="n">
        <v>96</v>
      </c>
      <c r="Y2" t="inlineStr">
        <is>
          <t>P1:15, P2:16, P3:17, P0:12</t>
        </is>
      </c>
      <c r="Z2" t="n">
        <v/>
      </c>
      <c r="AA2" t="n">
        <v/>
      </c>
      <c r="AB2" t="n">
        <v/>
      </c>
    </row>
    <row r="3">
      <c r="A3" t="n">
        <v>1</v>
      </c>
      <c r="B3" t="inlineStr">
        <is>
          <t>RRP_KMEANS_VNS</t>
        </is>
      </c>
      <c r="C3" t="inlineStr">
        <is>
          <t>KMeans_VNS</t>
        </is>
      </c>
      <c r="D3" t="n">
        <v>500</v>
      </c>
      <c r="E3" t="n">
        <v>500</v>
      </c>
      <c r="F3" s="3" t="n">
        <v>311.7368034741978</v>
      </c>
      <c r="G3" s="3" t="n">
        <v>311.7368034741978</v>
      </c>
      <c r="H3" s="3" t="n">
        <v>0.559514799999306</v>
      </c>
      <c r="I3" t="n">
        <v>61</v>
      </c>
      <c r="J3" t="n">
        <v>488</v>
      </c>
      <c r="K3" t="n">
        <v>12</v>
      </c>
      <c r="L3" s="4" t="n">
        <v>0.976</v>
      </c>
      <c r="M3" s="3" t="n">
        <v>0.08629394288598223</v>
      </c>
      <c r="N3" s="3" t="n">
        <v>0.00311978962377388</v>
      </c>
      <c r="O3" s="3" t="n">
        <v>5.110439401216357</v>
      </c>
      <c r="P3" s="4" t="n">
        <v>0.8524590163934426</v>
      </c>
      <c r="Q3" t="n">
        <v>15</v>
      </c>
      <c r="R3" t="n">
        <v>17</v>
      </c>
      <c r="S3" t="n">
        <v>20</v>
      </c>
      <c r="T3" t="n">
        <v>9</v>
      </c>
      <c r="U3" t="n">
        <v>120</v>
      </c>
      <c r="V3" t="n">
        <v>136</v>
      </c>
      <c r="W3" t="n">
        <v>160</v>
      </c>
      <c r="X3" t="n">
        <v>72</v>
      </c>
      <c r="Y3" t="inlineStr">
        <is>
          <t>P1:15, P2:17, P3:20, P0:9</t>
        </is>
      </c>
      <c r="Z3" t="n">
        <v/>
      </c>
      <c r="AA3" t="n">
        <v/>
      </c>
      <c r="AB3" t="n">
        <v/>
      </c>
    </row>
    <row r="4">
      <c r="A4" t="n">
        <v>1</v>
      </c>
      <c r="B4" t="inlineStr">
        <is>
          <t>RRP_MS_KMEANS_VNS</t>
        </is>
      </c>
      <c r="C4" t="inlineStr">
        <is>
          <t>MS_KMeans_VNS</t>
        </is>
      </c>
      <c r="D4" t="n">
        <v>500</v>
      </c>
      <c r="E4" t="n">
        <v>500</v>
      </c>
      <c r="F4" s="3" t="n">
        <v>327.4790236437223</v>
      </c>
      <c r="G4" s="3" t="n">
        <v>327.4790236437223</v>
      </c>
      <c r="H4" s="3" t="n">
        <v>4.841163299992331</v>
      </c>
      <c r="I4" t="n">
        <v>61</v>
      </c>
      <c r="J4" t="n">
        <v>488</v>
      </c>
      <c r="K4" t="n">
        <v>12</v>
      </c>
      <c r="L4" s="4" t="n">
        <v>0.976</v>
      </c>
      <c r="M4" s="3" t="n">
        <v>0.1708119200910505</v>
      </c>
      <c r="N4" s="3" t="n">
        <v>0.0197073349026016</v>
      </c>
      <c r="O4" s="3" t="n">
        <v>5.368508584323316</v>
      </c>
      <c r="P4" s="4" t="n">
        <v>0.8688524590163934</v>
      </c>
      <c r="Q4" t="n">
        <v>16</v>
      </c>
      <c r="R4" t="n">
        <v>19</v>
      </c>
      <c r="S4" t="n">
        <v>18</v>
      </c>
      <c r="T4" t="n">
        <v>8</v>
      </c>
      <c r="U4" t="n">
        <v>128</v>
      </c>
      <c r="V4" t="n">
        <v>152</v>
      </c>
      <c r="W4" t="n">
        <v>144</v>
      </c>
      <c r="X4" t="n">
        <v>64</v>
      </c>
      <c r="Y4" t="inlineStr">
        <is>
          <t>P1:16, P2:19, P3:18, P0:8</t>
        </is>
      </c>
      <c r="Z4" t="n">
        <v/>
      </c>
      <c r="AA4" t="n">
        <v/>
      </c>
      <c r="AB4" t="n">
        <v/>
      </c>
    </row>
    <row r="5">
      <c r="A5" t="n">
        <v>1</v>
      </c>
      <c r="B5" t="inlineStr">
        <is>
          <t>RRP_GA</t>
        </is>
      </c>
      <c r="C5" t="inlineStr">
        <is>
          <t>GA</t>
        </is>
      </c>
      <c r="D5" t="n">
        <v>500</v>
      </c>
      <c r="E5" t="n">
        <v>500</v>
      </c>
      <c r="F5" s="3" t="n">
        <v>321.6825886478553</v>
      </c>
      <c r="G5" s="3" t="n">
        <v>321.6825886478553</v>
      </c>
      <c r="H5" s="3" t="n">
        <v>3.363704200004577</v>
      </c>
      <c r="I5" t="n">
        <v>61</v>
      </c>
      <c r="J5" t="n">
        <v>488</v>
      </c>
      <c r="K5" t="n">
        <v>12</v>
      </c>
      <c r="L5" s="4" t="n">
        <v>0.976</v>
      </c>
      <c r="M5" s="3" t="n">
        <v>0.1040692957851818</v>
      </c>
      <c r="N5" s="3" t="n">
        <v>0.02914625810646442</v>
      </c>
      <c r="O5" s="3" t="n">
        <v>5.273485059800906</v>
      </c>
      <c r="P5" s="4" t="n">
        <v>0.8524590163934426</v>
      </c>
      <c r="Q5" t="n">
        <v>16</v>
      </c>
      <c r="R5" t="n">
        <v>18</v>
      </c>
      <c r="S5" t="n">
        <v>18</v>
      </c>
      <c r="T5" t="n">
        <v>9</v>
      </c>
      <c r="U5" t="n">
        <v>128</v>
      </c>
      <c r="V5" t="n">
        <v>144</v>
      </c>
      <c r="W5" t="n">
        <v>144</v>
      </c>
      <c r="X5" t="n">
        <v>72</v>
      </c>
      <c r="Y5" t="inlineStr">
        <is>
          <t>P1:16, P2:18, P3:18, P0:9</t>
        </is>
      </c>
      <c r="Z5" t="n">
        <v/>
      </c>
      <c r="AA5" t="n">
        <v/>
      </c>
      <c r="AB5" t="n">
        <v/>
      </c>
    </row>
    <row r="6">
      <c r="A6" t="n">
        <v>1</v>
      </c>
      <c r="B6" t="inlineStr">
        <is>
          <t>RRP_SA</t>
        </is>
      </c>
      <c r="C6" t="inlineStr">
        <is>
          <t>SA</t>
        </is>
      </c>
      <c r="D6" t="n">
        <v>500</v>
      </c>
      <c r="E6" t="n">
        <v>500</v>
      </c>
      <c r="F6" s="3" t="n">
        <v>371.4176959998978</v>
      </c>
      <c r="G6" s="3" t="n">
        <v>371.4176959998978</v>
      </c>
      <c r="H6" s="3" t="n">
        <v>52.16811050000251</v>
      </c>
      <c r="I6" t="n">
        <v>62</v>
      </c>
      <c r="J6" t="n">
        <v>496</v>
      </c>
      <c r="K6" t="n">
        <v>4</v>
      </c>
      <c r="L6" s="4" t="n">
        <v>0.992</v>
      </c>
      <c r="M6" s="3" t="n">
        <v>0.1878400000329658</v>
      </c>
      <c r="N6" s="3" t="n">
        <v>0.02254005661598269</v>
      </c>
      <c r="O6" s="3" t="n">
        <v>5.990607999998351</v>
      </c>
      <c r="P6" s="4" t="n">
        <v>0.9193548387096774</v>
      </c>
      <c r="Q6" t="n">
        <v>21</v>
      </c>
      <c r="R6" t="n">
        <v>18</v>
      </c>
      <c r="S6" t="n">
        <v>18</v>
      </c>
      <c r="T6" t="n">
        <v>5</v>
      </c>
      <c r="U6" t="n">
        <v>168</v>
      </c>
      <c r="V6" t="n">
        <v>144</v>
      </c>
      <c r="W6" t="n">
        <v>144</v>
      </c>
      <c r="X6" t="n">
        <v>40</v>
      </c>
      <c r="Y6" t="inlineStr">
        <is>
          <t>P1:21, P2:18, P3:18, P0:5</t>
        </is>
      </c>
      <c r="Z6" t="n">
        <v/>
      </c>
      <c r="AA6" t="n">
        <v/>
      </c>
      <c r="AB6" t="n">
        <v/>
      </c>
    </row>
    <row r="7">
      <c r="A7" t="n">
        <v>2</v>
      </c>
      <c r="B7" t="inlineStr">
        <is>
          <t>RRP_KMEANS</t>
        </is>
      </c>
      <c r="C7" t="inlineStr">
        <is>
          <t>KMeans</t>
        </is>
      </c>
      <c r="D7" t="n">
        <v>500</v>
      </c>
      <c r="E7" t="n">
        <v>520</v>
      </c>
      <c r="F7" s="3" t="n">
        <v>296.7143274679417</v>
      </c>
      <c r="G7" s="3" t="n">
        <v>593.513025113708</v>
      </c>
      <c r="H7" s="3" t="n">
        <v>0.1247495999996318</v>
      </c>
      <c r="I7" t="n">
        <v>63</v>
      </c>
      <c r="J7" t="n">
        <v>504</v>
      </c>
      <c r="K7" t="n">
        <v>16</v>
      </c>
      <c r="L7" s="4" t="n">
        <v>0.9692307692307692</v>
      </c>
      <c r="M7" s="3" t="n">
        <v>0.09068969271692016</v>
      </c>
      <c r="N7" s="3" t="n">
        <v>-0.02063889782707513</v>
      </c>
      <c r="O7" s="3" t="n">
        <v>4.709751229649869</v>
      </c>
      <c r="P7" s="4" t="n">
        <v>0.746031746031746</v>
      </c>
      <c r="Q7" t="n">
        <v>15</v>
      </c>
      <c r="R7" t="n">
        <v>17</v>
      </c>
      <c r="S7" t="n">
        <v>15</v>
      </c>
      <c r="T7" t="n">
        <v>16</v>
      </c>
      <c r="U7" t="n">
        <v>120</v>
      </c>
      <c r="V7" t="n">
        <v>136</v>
      </c>
      <c r="W7" t="n">
        <v>120</v>
      </c>
      <c r="X7" t="n">
        <v>128</v>
      </c>
      <c r="Y7" t="inlineStr">
        <is>
          <t>P1:15, P2:17, P3:15, P0:16</t>
        </is>
      </c>
      <c r="Z7" t="n">
        <v/>
      </c>
      <c r="AA7" t="n">
        <v/>
      </c>
      <c r="AB7" t="n">
        <v/>
      </c>
    </row>
    <row r="8">
      <c r="A8" t="n">
        <v>2</v>
      </c>
      <c r="B8" t="inlineStr">
        <is>
          <t>RRP_KMEANS_VNS</t>
        </is>
      </c>
      <c r="C8" t="inlineStr">
        <is>
          <t>KMeans_VNS</t>
        </is>
      </c>
      <c r="D8" t="n">
        <v>500</v>
      </c>
      <c r="E8" t="n">
        <v>512</v>
      </c>
      <c r="F8" s="3" t="n">
        <v>329.6633223219006</v>
      </c>
      <c r="G8" s="3" t="n">
        <v>641.4001257960983</v>
      </c>
      <c r="H8" s="3" t="n">
        <v>0.7241763999918476</v>
      </c>
      <c r="I8" t="n">
        <v>63</v>
      </c>
      <c r="J8" t="n">
        <v>504</v>
      </c>
      <c r="K8" t="n">
        <v>8</v>
      </c>
      <c r="L8" s="4" t="n">
        <v>0.984375</v>
      </c>
      <c r="M8" s="3" t="n">
        <v>0.106881802571203</v>
      </c>
      <c r="N8" s="3" t="n">
        <v>0.03847051925808302</v>
      </c>
      <c r="O8" s="3" t="n">
        <v>5.232751147966677</v>
      </c>
      <c r="P8" s="4" t="n">
        <v>0.8253968253968254</v>
      </c>
      <c r="Q8" t="n">
        <v>18</v>
      </c>
      <c r="R8" t="n">
        <v>16</v>
      </c>
      <c r="S8" t="n">
        <v>18</v>
      </c>
      <c r="T8" t="n">
        <v>11</v>
      </c>
      <c r="U8" t="n">
        <v>144</v>
      </c>
      <c r="V8" t="n">
        <v>128</v>
      </c>
      <c r="W8" t="n">
        <v>144</v>
      </c>
      <c r="X8" t="n">
        <v>88</v>
      </c>
      <c r="Y8" t="inlineStr">
        <is>
          <t>P1:18, P2:16, P3:18, P0:11</t>
        </is>
      </c>
      <c r="Z8" t="n">
        <v/>
      </c>
      <c r="AA8" t="n">
        <v/>
      </c>
      <c r="AB8" t="n">
        <v/>
      </c>
    </row>
    <row r="9">
      <c r="A9" t="n">
        <v>2</v>
      </c>
      <c r="B9" t="inlineStr">
        <is>
          <t>RRP_MS_KMEANS_VNS</t>
        </is>
      </c>
      <c r="C9" t="inlineStr">
        <is>
          <t>MS_KMeans_VNS</t>
        </is>
      </c>
      <c r="D9" t="n">
        <v>500</v>
      </c>
      <c r="E9" t="n">
        <v>512</v>
      </c>
      <c r="F9" s="3" t="n">
        <v>330.7210561727118</v>
      </c>
      <c r="G9" s="3" t="n">
        <v>658.2000798164341</v>
      </c>
      <c r="H9" s="3" t="n">
        <v>2.684859599990887</v>
      </c>
      <c r="I9" t="n">
        <v>64</v>
      </c>
      <c r="J9" t="n">
        <v>512</v>
      </c>
      <c r="K9" t="n">
        <v>0</v>
      </c>
      <c r="L9" s="4" t="n">
        <v>1</v>
      </c>
      <c r="M9" s="3" t="n">
        <v>0.0871699460275564</v>
      </c>
      <c r="N9" s="3" t="n">
        <v>0.003102401543362526</v>
      </c>
      <c r="O9" s="3" t="n">
        <v>5.167516502698622</v>
      </c>
      <c r="P9" s="4" t="n">
        <v>0.78125</v>
      </c>
      <c r="Q9" t="n">
        <v>19</v>
      </c>
      <c r="R9" t="n">
        <v>16</v>
      </c>
      <c r="S9" t="n">
        <v>15</v>
      </c>
      <c r="T9" t="n">
        <v>14</v>
      </c>
      <c r="U9" t="n">
        <v>152</v>
      </c>
      <c r="V9" t="n">
        <v>128</v>
      </c>
      <c r="W9" t="n">
        <v>120</v>
      </c>
      <c r="X9" t="n">
        <v>112</v>
      </c>
      <c r="Y9" t="inlineStr">
        <is>
          <t>P1:19, P2:16, P3:15, P0:14</t>
        </is>
      </c>
      <c r="Z9" t="n">
        <v/>
      </c>
      <c r="AA9" t="n">
        <v/>
      </c>
      <c r="AB9" t="n">
        <v/>
      </c>
    </row>
    <row r="10">
      <c r="A10" t="n">
        <v>2</v>
      </c>
      <c r="B10" t="inlineStr">
        <is>
          <t>RRP_GA</t>
        </is>
      </c>
      <c r="C10" t="inlineStr">
        <is>
          <t>GA</t>
        </is>
      </c>
      <c r="D10" t="n">
        <v>500</v>
      </c>
      <c r="E10" t="n">
        <v>512</v>
      </c>
      <c r="F10" s="3" t="n">
        <v>319.71271411642</v>
      </c>
      <c r="G10" s="3" t="n">
        <v>641.3953027642752</v>
      </c>
      <c r="H10" s="3" t="n">
        <v>2.467308000006597</v>
      </c>
      <c r="I10" t="n">
        <v>64</v>
      </c>
      <c r="J10" t="n">
        <v>512</v>
      </c>
      <c r="K10" t="n">
        <v>0</v>
      </c>
      <c r="L10" s="4" t="n">
        <v>1</v>
      </c>
      <c r="M10" s="3" t="n">
        <v>0.08977683861874546</v>
      </c>
      <c r="N10" s="3" t="n">
        <v>-0.005894072135319207</v>
      </c>
      <c r="O10" s="3" t="n">
        <v>4.995511158069062</v>
      </c>
      <c r="P10" s="4" t="n">
        <v>0.78125</v>
      </c>
      <c r="Q10" t="n">
        <v>17</v>
      </c>
      <c r="R10" t="n">
        <v>17</v>
      </c>
      <c r="S10" t="n">
        <v>16</v>
      </c>
      <c r="T10" t="n">
        <v>14</v>
      </c>
      <c r="U10" t="n">
        <v>136</v>
      </c>
      <c r="V10" t="n">
        <v>136</v>
      </c>
      <c r="W10" t="n">
        <v>128</v>
      </c>
      <c r="X10" t="n">
        <v>112</v>
      </c>
      <c r="Y10" t="inlineStr">
        <is>
          <t>P1:17, P2:17, P3:16, P0:14</t>
        </is>
      </c>
      <c r="Z10" t="n">
        <v/>
      </c>
      <c r="AA10" t="n">
        <v/>
      </c>
      <c r="AB10" t="n">
        <v/>
      </c>
    </row>
    <row r="11">
      <c r="A11" t="n">
        <v>2</v>
      </c>
      <c r="B11" t="inlineStr">
        <is>
          <t>RRP_SA</t>
        </is>
      </c>
      <c r="C11" t="inlineStr">
        <is>
          <t>SA</t>
        </is>
      </c>
      <c r="D11" t="n">
        <v>500</v>
      </c>
      <c r="E11" t="n">
        <v>504</v>
      </c>
      <c r="F11" s="3" t="n">
        <v>369.343253157931</v>
      </c>
      <c r="G11" s="3" t="n">
        <v>740.7609491578288</v>
      </c>
      <c r="H11" s="3" t="n">
        <v>48.65438140000333</v>
      </c>
      <c r="I11" t="n">
        <v>62</v>
      </c>
      <c r="J11" t="n">
        <v>496</v>
      </c>
      <c r="K11" t="n">
        <v>8</v>
      </c>
      <c r="L11" s="4" t="n">
        <v>0.9841269841269841</v>
      </c>
      <c r="M11" s="3" t="n">
        <v>0.2118538200222618</v>
      </c>
      <c r="N11" s="3" t="n">
        <v>0.00916213093904884</v>
      </c>
      <c r="O11" s="3" t="n">
        <v>5.957149244482759</v>
      </c>
      <c r="P11" s="4" t="n">
        <v>0.8709677419354839</v>
      </c>
      <c r="Q11" t="n">
        <v>22</v>
      </c>
      <c r="R11" t="n">
        <v>18</v>
      </c>
      <c r="S11" t="n">
        <v>14</v>
      </c>
      <c r="T11" t="n">
        <v>8</v>
      </c>
      <c r="U11" t="n">
        <v>176</v>
      </c>
      <c r="V11" t="n">
        <v>144</v>
      </c>
      <c r="W11" t="n">
        <v>112</v>
      </c>
      <c r="X11" t="n">
        <v>64</v>
      </c>
      <c r="Y11" t="inlineStr">
        <is>
          <t>P1:22, P2:18, P3:14, P0:8</t>
        </is>
      </c>
      <c r="Z11" t="n">
        <v/>
      </c>
      <c r="AA11" t="n">
        <v/>
      </c>
      <c r="AB11" t="n">
        <v/>
      </c>
    </row>
    <row r="12">
      <c r="A12" t="n">
        <v>3</v>
      </c>
      <c r="B12" t="inlineStr">
        <is>
          <t>RRP_KMEANS</t>
        </is>
      </c>
      <c r="C12" t="inlineStr">
        <is>
          <t>KMeans</t>
        </is>
      </c>
      <c r="D12" t="n">
        <v>500</v>
      </c>
      <c r="E12" t="n">
        <v>516</v>
      </c>
      <c r="F12" s="3" t="n">
        <v>294.7263310431917</v>
      </c>
      <c r="G12" s="3" t="n">
        <v>888.2393561568997</v>
      </c>
      <c r="H12" s="3" t="n">
        <v>0.2614790000079665</v>
      </c>
      <c r="I12" t="n">
        <v>62</v>
      </c>
      <c r="J12" t="n">
        <v>496</v>
      </c>
      <c r="K12" t="n">
        <v>20</v>
      </c>
      <c r="L12" s="4" t="n">
        <v>0.9612403100775194</v>
      </c>
      <c r="M12" s="3" t="n">
        <v>0.08828030864783377</v>
      </c>
      <c r="N12" s="3" t="n">
        <v>-0.0006024033368938391</v>
      </c>
      <c r="O12" s="3" t="n">
        <v>4.753650500696641</v>
      </c>
      <c r="P12" s="4" t="n">
        <v>0.7903225806451613</v>
      </c>
      <c r="Q12" t="n">
        <v>13</v>
      </c>
      <c r="R12" t="n">
        <v>19</v>
      </c>
      <c r="S12" t="n">
        <v>17</v>
      </c>
      <c r="T12" t="n">
        <v>13</v>
      </c>
      <c r="U12" t="n">
        <v>104</v>
      </c>
      <c r="V12" t="n">
        <v>152</v>
      </c>
      <c r="W12" t="n">
        <v>136</v>
      </c>
      <c r="X12" t="n">
        <v>104</v>
      </c>
      <c r="Y12" t="inlineStr">
        <is>
          <t>P1:13, P2:19, P3:17, P0:13</t>
        </is>
      </c>
      <c r="Z12" t="n">
        <v/>
      </c>
      <c r="AA12" t="n">
        <v/>
      </c>
      <c r="AB12" t="n">
        <v/>
      </c>
    </row>
    <row r="13">
      <c r="A13" t="n">
        <v>3</v>
      </c>
      <c r="B13" t="inlineStr">
        <is>
          <t>RRP_KMEANS_VNS</t>
        </is>
      </c>
      <c r="C13" t="inlineStr">
        <is>
          <t>KMeans_VNS</t>
        </is>
      </c>
      <c r="D13" t="n">
        <v>500</v>
      </c>
      <c r="E13" t="n">
        <v>508</v>
      </c>
      <c r="F13" s="3" t="n">
        <v>298.6974605850318</v>
      </c>
      <c r="G13" s="3" t="n">
        <v>940.0975863811302</v>
      </c>
      <c r="H13" s="3" t="n">
        <v>0.7234294999943813</v>
      </c>
      <c r="I13" t="n">
        <v>61</v>
      </c>
      <c r="J13" t="n">
        <v>488</v>
      </c>
      <c r="K13" t="n">
        <v>20</v>
      </c>
      <c r="L13" s="4" t="n">
        <v>0.9606299212598425</v>
      </c>
      <c r="M13" s="3" t="n">
        <v>0.09919325080922149</v>
      </c>
      <c r="N13" s="3" t="n">
        <v>-0.03907651939707</v>
      </c>
      <c r="O13" s="3" t="n">
        <v>4.896679681721833</v>
      </c>
      <c r="P13" s="4" t="n">
        <v>0.819672131147541</v>
      </c>
      <c r="Q13" t="n">
        <v>14</v>
      </c>
      <c r="R13" t="n">
        <v>17</v>
      </c>
      <c r="S13" t="n">
        <v>19</v>
      </c>
      <c r="T13" t="n">
        <v>11</v>
      </c>
      <c r="U13" t="n">
        <v>112</v>
      </c>
      <c r="V13" t="n">
        <v>136</v>
      </c>
      <c r="W13" t="n">
        <v>152</v>
      </c>
      <c r="X13" t="n">
        <v>88</v>
      </c>
      <c r="Y13" t="inlineStr">
        <is>
          <t>P1:14, P2:17, P3:19, P0:11</t>
        </is>
      </c>
      <c r="Z13" t="n">
        <v/>
      </c>
      <c r="AA13" t="n">
        <v/>
      </c>
      <c r="AB13" t="n">
        <v/>
      </c>
    </row>
    <row r="14">
      <c r="A14" t="n">
        <v>3</v>
      </c>
      <c r="B14" t="inlineStr">
        <is>
          <t>RRP_MS_KMEANS_VNS</t>
        </is>
      </c>
      <c r="C14" t="inlineStr">
        <is>
          <t>MS_KMeans_VNS</t>
        </is>
      </c>
      <c r="D14" t="n">
        <v>500</v>
      </c>
      <c r="E14" t="n">
        <v>500</v>
      </c>
      <c r="F14" s="3" t="n">
        <v>317.2207857292271</v>
      </c>
      <c r="G14" s="3" t="n">
        <v>975.4208655456613</v>
      </c>
      <c r="H14" s="3" t="n">
        <v>3.998383300000569</v>
      </c>
      <c r="I14" t="n">
        <v>62</v>
      </c>
      <c r="J14" t="n">
        <v>496</v>
      </c>
      <c r="K14" t="n">
        <v>4</v>
      </c>
      <c r="L14" s="4" t="n">
        <v>0.992</v>
      </c>
      <c r="M14" s="3" t="n">
        <v>0.2513594421847937</v>
      </c>
      <c r="N14" s="3" t="n">
        <v>-0.01320486714026437</v>
      </c>
      <c r="O14" s="3" t="n">
        <v>5.116464285955277</v>
      </c>
      <c r="P14" s="4" t="n">
        <v>0.8548387096774194</v>
      </c>
      <c r="Q14" t="n">
        <v>12</v>
      </c>
      <c r="R14" t="n">
        <v>25</v>
      </c>
      <c r="S14" t="n">
        <v>16</v>
      </c>
      <c r="T14" t="n">
        <v>9</v>
      </c>
      <c r="U14" t="n">
        <v>96</v>
      </c>
      <c r="V14" t="n">
        <v>200</v>
      </c>
      <c r="W14" t="n">
        <v>128</v>
      </c>
      <c r="X14" t="n">
        <v>72</v>
      </c>
      <c r="Y14" t="inlineStr">
        <is>
          <t>P1:12, P2:25, P3:16, P0:9</t>
        </is>
      </c>
      <c r="Z14" t="n">
        <v/>
      </c>
      <c r="AA14" t="n">
        <v/>
      </c>
      <c r="AB14" t="n">
        <v/>
      </c>
    </row>
    <row r="15">
      <c r="A15" t="n">
        <v>3</v>
      </c>
      <c r="B15" t="inlineStr">
        <is>
          <t>RRP_GA</t>
        </is>
      </c>
      <c r="C15" t="inlineStr">
        <is>
          <t>GA</t>
        </is>
      </c>
      <c r="D15" t="n">
        <v>500</v>
      </c>
      <c r="E15" t="n">
        <v>500</v>
      </c>
      <c r="F15" s="3" t="n">
        <v>315.6603806652784</v>
      </c>
      <c r="G15" s="3" t="n">
        <v>957.0556834295537</v>
      </c>
      <c r="H15" s="3" t="n">
        <v>3.452036000002408</v>
      </c>
      <c r="I15" t="n">
        <v>61</v>
      </c>
      <c r="J15" t="n">
        <v>488</v>
      </c>
      <c r="K15" t="n">
        <v>12</v>
      </c>
      <c r="L15" s="4" t="n">
        <v>0.976</v>
      </c>
      <c r="M15" s="3" t="n">
        <v>0.1113506015480561</v>
      </c>
      <c r="N15" s="3" t="n">
        <v>-0.003201805981632398</v>
      </c>
      <c r="O15" s="3" t="n">
        <v>5.174760338775056</v>
      </c>
      <c r="P15" s="4" t="n">
        <v>0.8360655737704918</v>
      </c>
      <c r="Q15" t="n">
        <v>16</v>
      </c>
      <c r="R15" t="n">
        <v>17</v>
      </c>
      <c r="S15" t="n">
        <v>18</v>
      </c>
      <c r="T15" t="n">
        <v>10</v>
      </c>
      <c r="U15" t="n">
        <v>128</v>
      </c>
      <c r="V15" t="n">
        <v>136</v>
      </c>
      <c r="W15" t="n">
        <v>144</v>
      </c>
      <c r="X15" t="n">
        <v>80</v>
      </c>
      <c r="Y15" t="inlineStr">
        <is>
          <t>P1:16, P2:17, P3:18, P0:10</t>
        </is>
      </c>
      <c r="Z15" t="n">
        <v/>
      </c>
      <c r="AA15" t="n">
        <v/>
      </c>
      <c r="AB15" t="n">
        <v/>
      </c>
    </row>
    <row r="16">
      <c r="A16" t="n">
        <v>3</v>
      </c>
      <c r="B16" t="inlineStr">
        <is>
          <t>RRP_SA</t>
        </is>
      </c>
      <c r="C16" t="inlineStr">
        <is>
          <t>SA</t>
        </is>
      </c>
      <c r="D16" t="n">
        <v>500</v>
      </c>
      <c r="E16" t="n">
        <v>508</v>
      </c>
      <c r="F16" s="3" t="n">
        <v>357.4299395923005</v>
      </c>
      <c r="G16" s="3" t="n">
        <v>1098.190888750129</v>
      </c>
      <c r="H16" s="3" t="n">
        <v>51.50113629999396</v>
      </c>
      <c r="I16" t="n">
        <v>62</v>
      </c>
      <c r="J16" t="n">
        <v>496</v>
      </c>
      <c r="K16" t="n">
        <v>12</v>
      </c>
      <c r="L16" s="4" t="n">
        <v>0.9763779527559056</v>
      </c>
      <c r="M16" s="3" t="n">
        <v>0.1838904540965983</v>
      </c>
      <c r="N16" s="3" t="n">
        <v>-0.01119547254090358</v>
      </c>
      <c r="O16" s="3" t="n">
        <v>5.764999025682267</v>
      </c>
      <c r="P16" s="4" t="n">
        <v>0.8870967741935484</v>
      </c>
      <c r="Q16" t="n">
        <v>19</v>
      </c>
      <c r="R16" t="n">
        <v>20</v>
      </c>
      <c r="S16" t="n">
        <v>16</v>
      </c>
      <c r="T16" t="n">
        <v>7</v>
      </c>
      <c r="U16" t="n">
        <v>152</v>
      </c>
      <c r="V16" t="n">
        <v>160</v>
      </c>
      <c r="W16" t="n">
        <v>128</v>
      </c>
      <c r="X16" t="n">
        <v>56</v>
      </c>
      <c r="Y16" t="inlineStr">
        <is>
          <t>P1:19, P2:20, P3:16, P0:7</t>
        </is>
      </c>
      <c r="Z16" t="n">
        <v/>
      </c>
      <c r="AA16" t="n">
        <v/>
      </c>
      <c r="AB16" t="n">
        <v/>
      </c>
    </row>
    <row r="17">
      <c r="A17" t="n">
        <v>4</v>
      </c>
      <c r="B17" t="inlineStr">
        <is>
          <t>RRP_KMEANS</t>
        </is>
      </c>
      <c r="C17" t="inlineStr">
        <is>
          <t>KMeans</t>
        </is>
      </c>
      <c r="D17" t="n">
        <v>500</v>
      </c>
      <c r="E17" t="n">
        <v>520</v>
      </c>
      <c r="F17" s="3" t="n">
        <v>311.6593173255984</v>
      </c>
      <c r="G17" s="3" t="n">
        <v>1199.898673482498</v>
      </c>
      <c r="H17" s="3" t="n">
        <v>0.07417649999842979</v>
      </c>
      <c r="I17" t="n">
        <v>64</v>
      </c>
      <c r="J17" t="n">
        <v>512</v>
      </c>
      <c r="K17" t="n">
        <v>8</v>
      </c>
      <c r="L17" s="4" t="n">
        <v>0.9846153846153847</v>
      </c>
      <c r="M17" s="3" t="n">
        <v>0.1064633357505201</v>
      </c>
      <c r="N17" s="3" t="n">
        <v>0.003069017879960237</v>
      </c>
      <c r="O17" s="3" t="n">
        <v>4.869676833212474</v>
      </c>
      <c r="P17" s="4" t="n">
        <v>0.8125</v>
      </c>
      <c r="Q17" t="n">
        <v>15</v>
      </c>
      <c r="R17" t="n">
        <v>17</v>
      </c>
      <c r="S17" t="n">
        <v>20</v>
      </c>
      <c r="T17" t="n">
        <v>12</v>
      </c>
      <c r="U17" t="n">
        <v>120</v>
      </c>
      <c r="V17" t="n">
        <v>136</v>
      </c>
      <c r="W17" t="n">
        <v>160</v>
      </c>
      <c r="X17" t="n">
        <v>96</v>
      </c>
      <c r="Y17" t="inlineStr">
        <is>
          <t>P1:15, P2:17, P3:20, P0:12</t>
        </is>
      </c>
      <c r="Z17" t="n">
        <v/>
      </c>
      <c r="AA17" t="n">
        <v/>
      </c>
      <c r="AB17" t="n">
        <v/>
      </c>
    </row>
    <row r="18">
      <c r="A18" t="n">
        <v>4</v>
      </c>
      <c r="B18" t="inlineStr">
        <is>
          <t>RRP_KMEANS_VNS</t>
        </is>
      </c>
      <c r="C18" t="inlineStr">
        <is>
          <t>KMeans_VNS</t>
        </is>
      </c>
      <c r="D18" t="n">
        <v>500</v>
      </c>
      <c r="E18" t="n">
        <v>520</v>
      </c>
      <c r="F18" s="3" t="n">
        <v>311.6593131927</v>
      </c>
      <c r="G18" s="3" t="n">
        <v>1251.75689957383</v>
      </c>
      <c r="H18" s="3" t="n">
        <v>0.6993358000036096</v>
      </c>
      <c r="I18" t="n">
        <v>63</v>
      </c>
      <c r="J18" t="n">
        <v>504</v>
      </c>
      <c r="K18" t="n">
        <v>16</v>
      </c>
      <c r="L18" s="4" t="n">
        <v>0.9692307692307692</v>
      </c>
      <c r="M18" s="3" t="n">
        <v>0.1081545419999978</v>
      </c>
      <c r="N18" s="3" t="n">
        <v>-0.008725317994844472</v>
      </c>
      <c r="O18" s="3" t="n">
        <v>4.946973225280952</v>
      </c>
      <c r="P18" s="4" t="n">
        <v>0.8095238095238095</v>
      </c>
      <c r="Q18" t="n">
        <v>15</v>
      </c>
      <c r="R18" t="n">
        <v>18</v>
      </c>
      <c r="S18" t="n">
        <v>18</v>
      </c>
      <c r="T18" t="n">
        <v>12</v>
      </c>
      <c r="U18" t="n">
        <v>120</v>
      </c>
      <c r="V18" t="n">
        <v>144</v>
      </c>
      <c r="W18" t="n">
        <v>144</v>
      </c>
      <c r="X18" t="n">
        <v>96</v>
      </c>
      <c r="Y18" t="inlineStr">
        <is>
          <t>P1:15, P2:18, P3:18, P0:12</t>
        </is>
      </c>
      <c r="Z18" t="n">
        <v/>
      </c>
      <c r="AA18" t="n">
        <v/>
      </c>
      <c r="AB18" t="n">
        <v/>
      </c>
    </row>
    <row r="19">
      <c r="A19" t="n">
        <v>4</v>
      </c>
      <c r="B19" t="inlineStr">
        <is>
          <t>RRP_MS_KMEANS_VNS</t>
        </is>
      </c>
      <c r="C19" t="inlineStr">
        <is>
          <t>MS_KMeans_VNS</t>
        </is>
      </c>
      <c r="D19" t="n">
        <v>500</v>
      </c>
      <c r="E19" t="n">
        <v>504</v>
      </c>
      <c r="F19" s="3" t="n">
        <v>319.7158322052861</v>
      </c>
      <c r="G19" s="3" t="n">
        <v>1295.136697750947</v>
      </c>
      <c r="H19" s="3" t="n">
        <v>3.164779300001101</v>
      </c>
      <c r="I19" t="n">
        <v>62</v>
      </c>
      <c r="J19" t="n">
        <v>496</v>
      </c>
      <c r="K19" t="n">
        <v>8</v>
      </c>
      <c r="L19" s="4" t="n">
        <v>0.9841269841269841</v>
      </c>
      <c r="M19" s="3" t="n">
        <v>0.09166703055290554</v>
      </c>
      <c r="N19" s="3" t="n">
        <v>-0.003720057011429893</v>
      </c>
      <c r="O19" s="3" t="n">
        <v>5.156706971053001</v>
      </c>
      <c r="P19" s="4" t="n">
        <v>0.8225806451612904</v>
      </c>
      <c r="Q19" t="n">
        <v>17</v>
      </c>
      <c r="R19" t="n">
        <v>16</v>
      </c>
      <c r="S19" t="n">
        <v>18</v>
      </c>
      <c r="T19" t="n">
        <v>11</v>
      </c>
      <c r="U19" t="n">
        <v>136</v>
      </c>
      <c r="V19" t="n">
        <v>128</v>
      </c>
      <c r="W19" t="n">
        <v>144</v>
      </c>
      <c r="X19" t="n">
        <v>88</v>
      </c>
      <c r="Y19" t="inlineStr">
        <is>
          <t>P1:17, P2:16, P3:18, P0:11</t>
        </is>
      </c>
      <c r="Z19" t="n">
        <v/>
      </c>
      <c r="AA19" t="n">
        <v/>
      </c>
      <c r="AB19" t="n">
        <v/>
      </c>
    </row>
    <row r="20">
      <c r="A20" t="n">
        <v>4</v>
      </c>
      <c r="B20" t="inlineStr">
        <is>
          <t>RRP_GA</t>
        </is>
      </c>
      <c r="C20" t="inlineStr">
        <is>
          <t>GA</t>
        </is>
      </c>
      <c r="D20" t="n">
        <v>500</v>
      </c>
      <c r="E20" t="n">
        <v>512</v>
      </c>
      <c r="F20" s="3" t="n">
        <v>328.5754378910519</v>
      </c>
      <c r="G20" s="3" t="n">
        <v>1285.631121320606</v>
      </c>
      <c r="H20" s="3" t="n">
        <v>3.236844800005201</v>
      </c>
      <c r="I20" t="n">
        <v>64</v>
      </c>
      <c r="J20" t="n">
        <v>512</v>
      </c>
      <c r="K20" t="n">
        <v>0</v>
      </c>
      <c r="L20" s="4" t="n">
        <v>1</v>
      </c>
      <c r="M20" s="3" t="n">
        <v>0.132675659046281</v>
      </c>
      <c r="N20" s="3" t="n">
        <v>-0.0325296985958269</v>
      </c>
      <c r="O20" s="3" t="n">
        <v>5.133991217047686</v>
      </c>
      <c r="P20" s="4" t="n">
        <v>0.84375</v>
      </c>
      <c r="Q20" t="n">
        <v>17</v>
      </c>
      <c r="R20" t="n">
        <v>16</v>
      </c>
      <c r="S20" t="n">
        <v>21</v>
      </c>
      <c r="T20" t="n">
        <v>10</v>
      </c>
      <c r="U20" t="n">
        <v>136</v>
      </c>
      <c r="V20" t="n">
        <v>128</v>
      </c>
      <c r="W20" t="n">
        <v>168</v>
      </c>
      <c r="X20" t="n">
        <v>80</v>
      </c>
      <c r="Y20" t="inlineStr">
        <is>
          <t>P1:17, P2:16, P3:21, P0:10</t>
        </is>
      </c>
      <c r="Z20" t="n">
        <v/>
      </c>
      <c r="AA20" t="n">
        <v/>
      </c>
      <c r="AB20" t="n">
        <v/>
      </c>
    </row>
    <row r="21">
      <c r="A21" t="n">
        <v>4</v>
      </c>
      <c r="B21" t="inlineStr">
        <is>
          <t>RRP_SA</t>
        </is>
      </c>
      <c r="C21" t="inlineStr">
        <is>
          <t>SA</t>
        </is>
      </c>
      <c r="D21" t="n">
        <v>500</v>
      </c>
      <c r="E21" t="n">
        <v>512</v>
      </c>
      <c r="F21" s="3" t="n">
        <v>356.4044820127343</v>
      </c>
      <c r="G21" s="3" t="n">
        <v>1454.595370762863</v>
      </c>
      <c r="H21" s="3" t="n">
        <v>55.28932080000232</v>
      </c>
      <c r="I21" t="n">
        <v>63</v>
      </c>
      <c r="J21" t="n">
        <v>504</v>
      </c>
      <c r="K21" t="n">
        <v>8</v>
      </c>
      <c r="L21" s="4" t="n">
        <v>0.984375</v>
      </c>
      <c r="M21" s="3" t="n">
        <v>0.1890533292906948</v>
      </c>
      <c r="N21" s="3" t="n">
        <v>-0.01381391279317964</v>
      </c>
      <c r="O21" s="3" t="n">
        <v>5.657214000202131</v>
      </c>
      <c r="P21" s="4" t="n">
        <v>0.9047619047619048</v>
      </c>
      <c r="Q21" t="n">
        <v>18</v>
      </c>
      <c r="R21" t="n">
        <v>20</v>
      </c>
      <c r="S21" t="n">
        <v>19</v>
      </c>
      <c r="T21" t="n">
        <v>6</v>
      </c>
      <c r="U21" t="n">
        <v>144</v>
      </c>
      <c r="V21" t="n">
        <v>160</v>
      </c>
      <c r="W21" t="n">
        <v>152</v>
      </c>
      <c r="X21" t="n">
        <v>48</v>
      </c>
      <c r="Y21" t="inlineStr">
        <is>
          <t>P1:18, P2:20, P3:19, P0:6</t>
        </is>
      </c>
      <c r="Z21" t="n">
        <v/>
      </c>
      <c r="AA21" t="n">
        <v/>
      </c>
      <c r="AB21" t="n">
        <v/>
      </c>
    </row>
    <row r="22">
      <c r="A22" t="n">
        <v>5</v>
      </c>
      <c r="B22" t="inlineStr">
        <is>
          <t>RRP_KMEANS</t>
        </is>
      </c>
      <c r="C22" t="inlineStr">
        <is>
          <t>KMeans</t>
        </is>
      </c>
      <c r="D22" t="n">
        <v>500</v>
      </c>
      <c r="E22" t="n">
        <v>508</v>
      </c>
      <c r="F22" s="3" t="n">
        <v>282.7208890542727</v>
      </c>
      <c r="G22" s="3" t="n">
        <v>1482.619562536771</v>
      </c>
      <c r="H22" s="3" t="n">
        <v>0.0682877999934135</v>
      </c>
      <c r="I22" t="n">
        <v>62</v>
      </c>
      <c r="J22" t="n">
        <v>496</v>
      </c>
      <c r="K22" t="n">
        <v>12</v>
      </c>
      <c r="L22" s="4" t="n">
        <v>0.9763779527559056</v>
      </c>
      <c r="M22" s="3" t="n">
        <v>0.09003578894428849</v>
      </c>
      <c r="N22" s="3" t="n">
        <v>-0.01692297214006399</v>
      </c>
      <c r="O22" s="3" t="n">
        <v>4.560014339585043</v>
      </c>
      <c r="P22" s="4" t="n">
        <v>0.7419354838709677</v>
      </c>
      <c r="Q22" t="n">
        <v>13</v>
      </c>
      <c r="R22" t="n">
        <v>18</v>
      </c>
      <c r="S22" t="n">
        <v>15</v>
      </c>
      <c r="T22" t="n">
        <v>16</v>
      </c>
      <c r="U22" t="n">
        <v>104</v>
      </c>
      <c r="V22" t="n">
        <v>144</v>
      </c>
      <c r="W22" t="n">
        <v>120</v>
      </c>
      <c r="X22" t="n">
        <v>128</v>
      </c>
      <c r="Y22" t="inlineStr">
        <is>
          <t>P1:13, P2:18, P3:15, P0:16</t>
        </is>
      </c>
      <c r="Z22" t="n">
        <v/>
      </c>
      <c r="AA22" t="n">
        <v/>
      </c>
      <c r="AB22" t="n">
        <v/>
      </c>
    </row>
    <row r="23">
      <c r="A23" t="n">
        <v>5</v>
      </c>
      <c r="B23" t="inlineStr">
        <is>
          <t>RRP_KMEANS_VNS</t>
        </is>
      </c>
      <c r="C23" t="inlineStr">
        <is>
          <t>KMeans_VNS</t>
        </is>
      </c>
      <c r="D23" t="n">
        <v>500</v>
      </c>
      <c r="E23" t="n">
        <v>516</v>
      </c>
      <c r="F23" s="3" t="n">
        <v>300.7163398597535</v>
      </c>
      <c r="G23" s="3" t="n">
        <v>1552.473239433584</v>
      </c>
      <c r="H23" s="3" t="n">
        <v>0.6880106000025989</v>
      </c>
      <c r="I23" t="n">
        <v>62</v>
      </c>
      <c r="J23" t="n">
        <v>496</v>
      </c>
      <c r="K23" t="n">
        <v>20</v>
      </c>
      <c r="L23" s="4" t="n">
        <v>0.9612403100775194</v>
      </c>
      <c r="M23" s="3" t="n">
        <v>0.09150327104726504</v>
      </c>
      <c r="N23" s="3" t="n">
        <v>0.01227884281792013</v>
      </c>
      <c r="O23" s="3" t="n">
        <v>4.850263546125057</v>
      </c>
      <c r="P23" s="4" t="n">
        <v>0.7903225806451613</v>
      </c>
      <c r="Q23" t="n">
        <v>13</v>
      </c>
      <c r="R23" t="n">
        <v>21</v>
      </c>
      <c r="S23" t="n">
        <v>15</v>
      </c>
      <c r="T23" t="n">
        <v>13</v>
      </c>
      <c r="U23" t="n">
        <v>104</v>
      </c>
      <c r="V23" t="n">
        <v>168</v>
      </c>
      <c r="W23" t="n">
        <v>120</v>
      </c>
      <c r="X23" t="n">
        <v>104</v>
      </c>
      <c r="Y23" t="inlineStr">
        <is>
          <t>P1:13, P2:21, P3:15, P0:13</t>
        </is>
      </c>
      <c r="Z23" t="n">
        <v/>
      </c>
      <c r="AA23" t="n">
        <v/>
      </c>
      <c r="AB23" t="n">
        <v/>
      </c>
    </row>
    <row r="24">
      <c r="A24" t="n">
        <v>5</v>
      </c>
      <c r="B24" t="inlineStr">
        <is>
          <t>RRP_MS_KMEANS_VNS</t>
        </is>
      </c>
      <c r="C24" t="inlineStr">
        <is>
          <t>MS_KMeans_VNS</t>
        </is>
      </c>
      <c r="D24" t="n">
        <v>500</v>
      </c>
      <c r="E24" t="n">
        <v>508</v>
      </c>
      <c r="F24" s="3" t="n">
        <v>320.4757010505376</v>
      </c>
      <c r="G24" s="3" t="n">
        <v>1615.612398801485</v>
      </c>
      <c r="H24" s="3" t="n">
        <v>4.508392999996431</v>
      </c>
      <c r="I24" t="n">
        <v>63</v>
      </c>
      <c r="J24" t="n">
        <v>504</v>
      </c>
      <c r="K24" t="n">
        <v>4</v>
      </c>
      <c r="L24" s="4" t="n">
        <v>0.9921259842519685</v>
      </c>
      <c r="M24" s="3" t="n">
        <v>0.16644411094044</v>
      </c>
      <c r="N24" s="3" t="n">
        <v>-0.00891962937135202</v>
      </c>
      <c r="O24" s="3" t="n">
        <v>5.086915889691073</v>
      </c>
      <c r="P24" s="4" t="n">
        <v>0.8253968253968254</v>
      </c>
      <c r="Q24" t="n">
        <v>15</v>
      </c>
      <c r="R24" t="n">
        <v>20</v>
      </c>
      <c r="S24" t="n">
        <v>17</v>
      </c>
      <c r="T24" t="n">
        <v>11</v>
      </c>
      <c r="U24" t="n">
        <v>120</v>
      </c>
      <c r="V24" t="n">
        <v>160</v>
      </c>
      <c r="W24" t="n">
        <v>136</v>
      </c>
      <c r="X24" t="n">
        <v>88</v>
      </c>
      <c r="Y24" t="inlineStr">
        <is>
          <t>P1:15, P2:20, P3:17, P0:11</t>
        </is>
      </c>
      <c r="Z24" t="n">
        <v/>
      </c>
      <c r="AA24" t="n">
        <v/>
      </c>
      <c r="AB24" t="n">
        <v/>
      </c>
    </row>
    <row r="25">
      <c r="A25" t="n">
        <v>5</v>
      </c>
      <c r="B25" t="inlineStr">
        <is>
          <t>RRP_GA</t>
        </is>
      </c>
      <c r="C25" t="inlineStr">
        <is>
          <t>GA</t>
        </is>
      </c>
      <c r="D25" t="n">
        <v>500</v>
      </c>
      <c r="E25" t="n">
        <v>500</v>
      </c>
      <c r="F25" s="3" t="n">
        <v>305.7040119525745</v>
      </c>
      <c r="G25" s="3" t="n">
        <v>1591.33513327318</v>
      </c>
      <c r="H25" s="3" t="n">
        <v>3.180015300007653</v>
      </c>
      <c r="I25" t="n">
        <v>61</v>
      </c>
      <c r="J25" t="n">
        <v>488</v>
      </c>
      <c r="K25" t="n">
        <v>12</v>
      </c>
      <c r="L25" s="4" t="n">
        <v>0.976</v>
      </c>
      <c r="M25" s="3" t="n">
        <v>0.09704526145096777</v>
      </c>
      <c r="N25" s="3" t="n">
        <v>-0.004158648949459071</v>
      </c>
      <c r="O25" s="3" t="n">
        <v>5.011541179550401</v>
      </c>
      <c r="P25" s="4" t="n">
        <v>0.7868852459016393</v>
      </c>
      <c r="Q25" t="n">
        <v>15</v>
      </c>
      <c r="R25" t="n">
        <v>19</v>
      </c>
      <c r="S25" t="n">
        <v>14</v>
      </c>
      <c r="T25" t="n">
        <v>13</v>
      </c>
      <c r="U25" t="n">
        <v>120</v>
      </c>
      <c r="V25" t="n">
        <v>152</v>
      </c>
      <c r="W25" t="n">
        <v>112</v>
      </c>
      <c r="X25" t="n">
        <v>104</v>
      </c>
      <c r="Y25" t="inlineStr">
        <is>
          <t>P1:15, P2:19, P3:14, P0:13</t>
        </is>
      </c>
      <c r="Z25" t="n">
        <v/>
      </c>
      <c r="AA25" t="n">
        <v/>
      </c>
      <c r="AB25" t="n">
        <v/>
      </c>
    </row>
    <row r="26">
      <c r="A26" t="n">
        <v>5</v>
      </c>
      <c r="B26" t="inlineStr">
        <is>
          <t>RRP_SA</t>
        </is>
      </c>
      <c r="C26" t="inlineStr">
        <is>
          <t>SA</t>
        </is>
      </c>
      <c r="D26" t="n">
        <v>500</v>
      </c>
      <c r="E26" t="n">
        <v>508</v>
      </c>
      <c r="F26" s="3" t="n">
        <v>359.3137190574346</v>
      </c>
      <c r="G26" s="3" t="n">
        <v>1813.909089820298</v>
      </c>
      <c r="H26" s="3" t="n">
        <v>54.72662869999476</v>
      </c>
      <c r="I26" t="n">
        <v>63</v>
      </c>
      <c r="J26" t="n">
        <v>504</v>
      </c>
      <c r="K26" t="n">
        <v>4</v>
      </c>
      <c r="L26" s="4" t="n">
        <v>0.9921259842519685</v>
      </c>
      <c r="M26" s="3" t="n">
        <v>0.2178669658937827</v>
      </c>
      <c r="N26" s="3" t="n">
        <v>-0.01077645036421602</v>
      </c>
      <c r="O26" s="3" t="n">
        <v>5.703392365991026</v>
      </c>
      <c r="P26" s="4" t="n">
        <v>0.873015873015873</v>
      </c>
      <c r="Q26" t="n">
        <v>18</v>
      </c>
      <c r="R26" t="n">
        <v>23</v>
      </c>
      <c r="S26" t="n">
        <v>14</v>
      </c>
      <c r="T26" t="n">
        <v>8</v>
      </c>
      <c r="U26" t="n">
        <v>144</v>
      </c>
      <c r="V26" t="n">
        <v>184</v>
      </c>
      <c r="W26" t="n">
        <v>112</v>
      </c>
      <c r="X26" t="n">
        <v>64</v>
      </c>
      <c r="Y26" t="inlineStr">
        <is>
          <t>P1:18, P2:23, P3:14, P0:8</t>
        </is>
      </c>
      <c r="Z26" t="n">
        <v/>
      </c>
      <c r="AA26" t="n">
        <v/>
      </c>
      <c r="AB26" t="n">
        <v/>
      </c>
    </row>
    <row r="27">
      <c r="A27" t="n">
        <v>6</v>
      </c>
      <c r="B27" t="inlineStr">
        <is>
          <t>RRP_KMEANS</t>
        </is>
      </c>
      <c r="C27" t="inlineStr">
        <is>
          <t>KMeans</t>
        </is>
      </c>
      <c r="D27" t="n">
        <v>500</v>
      </c>
      <c r="E27" t="n">
        <v>512</v>
      </c>
      <c r="F27" s="3" t="n">
        <v>300.7132572999711</v>
      </c>
      <c r="G27" s="3" t="n">
        <v>1783.332819836742</v>
      </c>
      <c r="H27" s="3" t="n">
        <v>0.08941679999406915</v>
      </c>
      <c r="I27" t="n">
        <v>63</v>
      </c>
      <c r="J27" t="n">
        <v>504</v>
      </c>
      <c r="K27" t="n">
        <v>8</v>
      </c>
      <c r="L27" s="4" t="n">
        <v>0.984375</v>
      </c>
      <c r="M27" s="3" t="n">
        <v>0.09102942858061176</v>
      </c>
      <c r="N27" s="3" t="n">
        <v>-0.01229772087080189</v>
      </c>
      <c r="O27" s="3" t="n">
        <v>4.773226306348747</v>
      </c>
      <c r="P27" s="4" t="n">
        <v>0.7142857142857143</v>
      </c>
      <c r="Q27" t="n">
        <v>16</v>
      </c>
      <c r="R27" t="n">
        <v>18</v>
      </c>
      <c r="S27" t="n">
        <v>11</v>
      </c>
      <c r="T27" t="n">
        <v>18</v>
      </c>
      <c r="U27" t="n">
        <v>128</v>
      </c>
      <c r="V27" t="n">
        <v>144</v>
      </c>
      <c r="W27" t="n">
        <v>88</v>
      </c>
      <c r="X27" t="n">
        <v>144</v>
      </c>
      <c r="Y27" t="inlineStr">
        <is>
          <t>P1:16, P2:18, P3:11, P0:18</t>
        </is>
      </c>
      <c r="Z27" t="n">
        <v/>
      </c>
      <c r="AA27" t="n">
        <v/>
      </c>
      <c r="AB27" t="n">
        <v/>
      </c>
    </row>
    <row r="28">
      <c r="A28" t="n">
        <v>6</v>
      </c>
      <c r="B28" t="inlineStr">
        <is>
          <t>RRP_KMEANS_VNS</t>
        </is>
      </c>
      <c r="C28" t="inlineStr">
        <is>
          <t>KMeans_VNS</t>
        </is>
      </c>
      <c r="D28" t="n">
        <v>500</v>
      </c>
      <c r="E28" t="n">
        <v>520</v>
      </c>
      <c r="F28" s="3" t="n">
        <v>331.7085609593873</v>
      </c>
      <c r="G28" s="3" t="n">
        <v>1884.181800392971</v>
      </c>
      <c r="H28" s="3" t="n">
        <v>0.6871438999951351</v>
      </c>
      <c r="I28" t="n">
        <v>64</v>
      </c>
      <c r="J28" t="n">
        <v>512</v>
      </c>
      <c r="K28" t="n">
        <v>8</v>
      </c>
      <c r="L28" s="4" t="n">
        <v>0.9846153846153847</v>
      </c>
      <c r="M28" s="3" t="n">
        <v>0.09107470019146466</v>
      </c>
      <c r="N28" s="3" t="n">
        <v>-0.02586707784813198</v>
      </c>
      <c r="O28" s="3" t="n">
        <v>5.182946264990426</v>
      </c>
      <c r="P28" s="4" t="n">
        <v>0.828125</v>
      </c>
      <c r="Q28" t="n">
        <v>17</v>
      </c>
      <c r="R28" t="n">
        <v>18</v>
      </c>
      <c r="S28" t="n">
        <v>18</v>
      </c>
      <c r="T28" t="n">
        <v>11</v>
      </c>
      <c r="U28" t="n">
        <v>136</v>
      </c>
      <c r="V28" t="n">
        <v>144</v>
      </c>
      <c r="W28" t="n">
        <v>144</v>
      </c>
      <c r="X28" t="n">
        <v>88</v>
      </c>
      <c r="Y28" t="inlineStr">
        <is>
          <t>P1:17, P2:18, P3:18, P0:11</t>
        </is>
      </c>
      <c r="Z28" t="n">
        <v/>
      </c>
      <c r="AA28" t="n">
        <v/>
      </c>
      <c r="AB28" t="n">
        <v/>
      </c>
    </row>
    <row r="29">
      <c r="A29" t="n">
        <v>6</v>
      </c>
      <c r="B29" t="inlineStr">
        <is>
          <t>RRP_MS_KMEANS_VNS</t>
        </is>
      </c>
      <c r="C29" t="inlineStr">
        <is>
          <t>MS_KMeans_VNS</t>
        </is>
      </c>
      <c r="D29" t="n">
        <v>500</v>
      </c>
      <c r="E29" t="n">
        <v>504</v>
      </c>
      <c r="F29" s="3" t="n">
        <v>318.7561918294043</v>
      </c>
      <c r="G29" s="3" t="n">
        <v>1934.368590630889</v>
      </c>
      <c r="H29" s="3" t="n">
        <v>2.683925100005581</v>
      </c>
      <c r="I29" t="n">
        <v>61</v>
      </c>
      <c r="J29" t="n">
        <v>488</v>
      </c>
      <c r="K29" t="n">
        <v>16</v>
      </c>
      <c r="L29" s="4" t="n">
        <v>0.9682539682539683</v>
      </c>
      <c r="M29" s="3" t="n">
        <v>0.07993710511333246</v>
      </c>
      <c r="N29" s="3" t="n">
        <v>0.007171075404109534</v>
      </c>
      <c r="O29" s="3" t="n">
        <v>5.225511341465644</v>
      </c>
      <c r="P29" s="4" t="n">
        <v>0.8360655737704918</v>
      </c>
      <c r="Q29" t="n">
        <v>16</v>
      </c>
      <c r="R29" t="n">
        <v>18</v>
      </c>
      <c r="S29" t="n">
        <v>17</v>
      </c>
      <c r="T29" t="n">
        <v>10</v>
      </c>
      <c r="U29" t="n">
        <v>128</v>
      </c>
      <c r="V29" t="n">
        <v>144</v>
      </c>
      <c r="W29" t="n">
        <v>136</v>
      </c>
      <c r="X29" t="n">
        <v>80</v>
      </c>
      <c r="Y29" t="inlineStr">
        <is>
          <t>P1:16, P2:18, P3:17, P0:10</t>
        </is>
      </c>
      <c r="Z29" t="n">
        <v/>
      </c>
      <c r="AA29" t="n">
        <v/>
      </c>
      <c r="AB29" t="n">
        <v/>
      </c>
    </row>
    <row r="30">
      <c r="A30" t="n">
        <v>6</v>
      </c>
      <c r="B30" t="inlineStr">
        <is>
          <t>RRP_GA</t>
        </is>
      </c>
      <c r="C30" t="inlineStr">
        <is>
          <t>GA</t>
        </is>
      </c>
      <c r="D30" t="n">
        <v>500</v>
      </c>
      <c r="E30" t="n">
        <v>512</v>
      </c>
      <c r="F30" s="3" t="n">
        <v>331.6946338267279</v>
      </c>
      <c r="G30" s="3" t="n">
        <v>1923.029767099908</v>
      </c>
      <c r="H30" s="3" t="n">
        <v>2.954629999992903</v>
      </c>
      <c r="I30" t="n">
        <v>62</v>
      </c>
      <c r="J30" t="n">
        <v>496</v>
      </c>
      <c r="K30" t="n">
        <v>16</v>
      </c>
      <c r="L30" s="4" t="n">
        <v>0.96875</v>
      </c>
      <c r="M30" s="3" t="n">
        <v>0.09850521718456969</v>
      </c>
      <c r="N30" s="3" t="n">
        <v>0.02285998077162375</v>
      </c>
      <c r="O30" s="3" t="n">
        <v>5.349913448818191</v>
      </c>
      <c r="P30" s="4" t="n">
        <v>0.8387096774193549</v>
      </c>
      <c r="Q30" t="n">
        <v>17</v>
      </c>
      <c r="R30" t="n">
        <v>19</v>
      </c>
      <c r="S30" t="n">
        <v>16</v>
      </c>
      <c r="T30" t="n">
        <v>10</v>
      </c>
      <c r="U30" t="n">
        <v>136</v>
      </c>
      <c r="V30" t="n">
        <v>152</v>
      </c>
      <c r="W30" t="n">
        <v>128</v>
      </c>
      <c r="X30" t="n">
        <v>80</v>
      </c>
      <c r="Y30" t="inlineStr">
        <is>
          <t>P1:17, P2:19, P3:16, P0:10</t>
        </is>
      </c>
      <c r="Z30" t="n">
        <v/>
      </c>
      <c r="AA30" t="n">
        <v/>
      </c>
      <c r="AB30" t="n">
        <v/>
      </c>
    </row>
    <row r="31">
      <c r="A31" t="n">
        <v>6</v>
      </c>
      <c r="B31" t="inlineStr">
        <is>
          <t>RRP_SA</t>
        </is>
      </c>
      <c r="C31" t="inlineStr">
        <is>
          <t>SA</t>
        </is>
      </c>
      <c r="D31" t="n">
        <v>500</v>
      </c>
      <c r="E31" t="n">
        <v>504</v>
      </c>
      <c r="F31" s="3" t="n">
        <v>378.2861417995513</v>
      </c>
      <c r="G31" s="3" t="n">
        <v>2192.195231619849</v>
      </c>
      <c r="H31" s="3" t="n">
        <v>49.80127939999511</v>
      </c>
      <c r="I31" t="n">
        <v>62</v>
      </c>
      <c r="J31" t="n">
        <v>496</v>
      </c>
      <c r="K31" t="n">
        <v>8</v>
      </c>
      <c r="L31" s="4" t="n">
        <v>0.9841269841269841</v>
      </c>
      <c r="M31" s="3" t="n">
        <v>0.2302768388544161</v>
      </c>
      <c r="N31" s="3" t="n">
        <v>0.01167838389458038</v>
      </c>
      <c r="O31" s="3" t="n">
        <v>6.101389383863731</v>
      </c>
      <c r="P31" s="4" t="n">
        <v>0.9193548387096774</v>
      </c>
      <c r="Q31" t="n">
        <v>22</v>
      </c>
      <c r="R31" t="n">
        <v>18</v>
      </c>
      <c r="S31" t="n">
        <v>17</v>
      </c>
      <c r="T31" t="n">
        <v>5</v>
      </c>
      <c r="U31" t="n">
        <v>176</v>
      </c>
      <c r="V31" t="n">
        <v>144</v>
      </c>
      <c r="W31" t="n">
        <v>136</v>
      </c>
      <c r="X31" t="n">
        <v>40</v>
      </c>
      <c r="Y31" t="inlineStr">
        <is>
          <t>P1:22, P2:18, P3:17, P0:5</t>
        </is>
      </c>
      <c r="Z31" t="n">
        <v/>
      </c>
      <c r="AA31" t="n">
        <v/>
      </c>
      <c r="AB31" t="n">
        <v/>
      </c>
    </row>
    <row r="32">
      <c r="A32" t="n">
        <v>7</v>
      </c>
      <c r="B32" t="inlineStr">
        <is>
          <t>RRP_KMEANS</t>
        </is>
      </c>
      <c r="C32" t="inlineStr">
        <is>
          <t>KMeans</t>
        </is>
      </c>
      <c r="D32" t="n">
        <v>500</v>
      </c>
      <c r="E32" t="n">
        <v>508</v>
      </c>
      <c r="F32" s="3" t="n">
        <v>296.7596848391708</v>
      </c>
      <c r="G32" s="3" t="n">
        <v>2080.092504675913</v>
      </c>
      <c r="H32" s="3" t="n">
        <v>0.1991285000112839</v>
      </c>
      <c r="I32" t="n">
        <v>63</v>
      </c>
      <c r="J32" t="n">
        <v>504</v>
      </c>
      <c r="K32" t="n">
        <v>4</v>
      </c>
      <c r="L32" s="4" t="n">
        <v>0.9921259842519685</v>
      </c>
      <c r="M32" s="3" t="n">
        <v>0.07629052724737088</v>
      </c>
      <c r="N32" s="3" t="n">
        <v>0.02838125922405111</v>
      </c>
      <c r="O32" s="3" t="n">
        <v>4.710471187923346</v>
      </c>
      <c r="P32" s="4" t="n">
        <v>0.7619047619047619</v>
      </c>
      <c r="Q32" t="n">
        <v>15</v>
      </c>
      <c r="R32" t="n">
        <v>16</v>
      </c>
      <c r="S32" t="n">
        <v>17</v>
      </c>
      <c r="T32" t="n">
        <v>15</v>
      </c>
      <c r="U32" t="n">
        <v>120</v>
      </c>
      <c r="V32" t="n">
        <v>128</v>
      </c>
      <c r="W32" t="n">
        <v>136</v>
      </c>
      <c r="X32" t="n">
        <v>120</v>
      </c>
      <c r="Y32" t="inlineStr">
        <is>
          <t>P1:15, P2:16, P3:17, P0:15</t>
        </is>
      </c>
      <c r="Z32" t="n">
        <v/>
      </c>
      <c r="AA32" t="n">
        <v/>
      </c>
      <c r="AB32" t="n">
        <v/>
      </c>
    </row>
    <row r="33">
      <c r="A33" t="n">
        <v>7</v>
      </c>
      <c r="B33" t="inlineStr">
        <is>
          <t>RRP_KMEANS_VNS</t>
        </is>
      </c>
      <c r="C33" t="inlineStr">
        <is>
          <t>KMeans_VNS</t>
        </is>
      </c>
      <c r="D33" t="n">
        <v>500</v>
      </c>
      <c r="E33" t="n">
        <v>508</v>
      </c>
      <c r="F33" s="3" t="n">
        <v>322.6733567165408</v>
      </c>
      <c r="G33" s="3" t="n">
        <v>2206.855157109512</v>
      </c>
      <c r="H33" s="3" t="n">
        <v>0.9675011000072118</v>
      </c>
      <c r="I33" t="n">
        <v>61</v>
      </c>
      <c r="J33" t="n">
        <v>488</v>
      </c>
      <c r="K33" t="n">
        <v>20</v>
      </c>
      <c r="L33" s="4" t="n">
        <v>0.9606299212598425</v>
      </c>
      <c r="M33" s="3" t="n">
        <v>0.1070961585112074</v>
      </c>
      <c r="N33" s="3" t="n">
        <v>0.03915875921768873</v>
      </c>
      <c r="O33" s="3" t="n">
        <v>5.289727159287553</v>
      </c>
      <c r="P33" s="4" t="n">
        <v>0.819672131147541</v>
      </c>
      <c r="Q33" t="n">
        <v>17</v>
      </c>
      <c r="R33" t="n">
        <v>18</v>
      </c>
      <c r="S33" t="n">
        <v>15</v>
      </c>
      <c r="T33" t="n">
        <v>11</v>
      </c>
      <c r="U33" t="n">
        <v>136</v>
      </c>
      <c r="V33" t="n">
        <v>144</v>
      </c>
      <c r="W33" t="n">
        <v>120</v>
      </c>
      <c r="X33" t="n">
        <v>88</v>
      </c>
      <c r="Y33" t="inlineStr">
        <is>
          <t>P1:17, P2:18, P3:15, P0:11</t>
        </is>
      </c>
      <c r="Z33" t="n">
        <v/>
      </c>
      <c r="AA33" t="n">
        <v/>
      </c>
      <c r="AB33" t="n">
        <v/>
      </c>
    </row>
    <row r="34">
      <c r="A34" t="n">
        <v>7</v>
      </c>
      <c r="B34" t="inlineStr">
        <is>
          <t>RRP_MS_KMEANS_VNS</t>
        </is>
      </c>
      <c r="C34" t="inlineStr">
        <is>
          <t>MS_KMeans_VNS</t>
        </is>
      </c>
      <c r="D34" t="n">
        <v>500</v>
      </c>
      <c r="E34" t="n">
        <v>516</v>
      </c>
      <c r="F34" s="3" t="n">
        <v>336.4562405672739</v>
      </c>
      <c r="G34" s="3" t="n">
        <v>2270.824831198163</v>
      </c>
      <c r="H34" s="3" t="n">
        <v>5.015083699996467</v>
      </c>
      <c r="I34" t="n">
        <v>64</v>
      </c>
      <c r="J34" t="n">
        <v>512</v>
      </c>
      <c r="K34" t="n">
        <v>4</v>
      </c>
      <c r="L34" s="4" t="n">
        <v>0.9922480620155039</v>
      </c>
      <c r="M34" s="3" t="n">
        <v>0.1699248227269116</v>
      </c>
      <c r="N34" s="3" t="n">
        <v>0.02060015245593103</v>
      </c>
      <c r="O34" s="3" t="n">
        <v>5.257128758863654</v>
      </c>
      <c r="P34" s="4" t="n">
        <v>0.828125</v>
      </c>
      <c r="Q34" t="n">
        <v>16</v>
      </c>
      <c r="R34" t="n">
        <v>22</v>
      </c>
      <c r="S34" t="n">
        <v>15</v>
      </c>
      <c r="T34" t="n">
        <v>11</v>
      </c>
      <c r="U34" t="n">
        <v>128</v>
      </c>
      <c r="V34" t="n">
        <v>176</v>
      </c>
      <c r="W34" t="n">
        <v>120</v>
      </c>
      <c r="X34" t="n">
        <v>88</v>
      </c>
      <c r="Y34" t="inlineStr">
        <is>
          <t>P1:16, P2:22, P3:15, P0:11</t>
        </is>
      </c>
      <c r="Z34" t="n">
        <v/>
      </c>
      <c r="AA34" t="n">
        <v/>
      </c>
      <c r="AB34" t="n">
        <v/>
      </c>
    </row>
    <row r="35">
      <c r="A35" t="n">
        <v>7</v>
      </c>
      <c r="B35" t="inlineStr">
        <is>
          <t>RRP_GA</t>
        </is>
      </c>
      <c r="C35" t="inlineStr">
        <is>
          <t>GA</t>
        </is>
      </c>
      <c r="D35" t="n">
        <v>500</v>
      </c>
      <c r="E35" t="n">
        <v>516</v>
      </c>
      <c r="F35" s="3" t="n">
        <v>322.674018398472</v>
      </c>
      <c r="G35" s="3" t="n">
        <v>2245.70378549838</v>
      </c>
      <c r="H35" s="3" t="n">
        <v>2.578854000006686</v>
      </c>
      <c r="I35" t="n">
        <v>63</v>
      </c>
      <c r="J35" t="n">
        <v>504</v>
      </c>
      <c r="K35" t="n">
        <v>12</v>
      </c>
      <c r="L35" s="4" t="n">
        <v>0.9767441860465116</v>
      </c>
      <c r="M35" s="3" t="n">
        <v>0.1034862227073068</v>
      </c>
      <c r="N35" s="3" t="n">
        <v>-0.007830923925997636</v>
      </c>
      <c r="O35" s="3" t="n">
        <v>5.121809815848761</v>
      </c>
      <c r="P35" s="4" t="n">
        <v>0.8095238095238095</v>
      </c>
      <c r="Q35" t="n">
        <v>17</v>
      </c>
      <c r="R35" t="n">
        <v>17</v>
      </c>
      <c r="S35" t="n">
        <v>17</v>
      </c>
      <c r="T35" t="n">
        <v>12</v>
      </c>
      <c r="U35" t="n">
        <v>136</v>
      </c>
      <c r="V35" t="n">
        <v>136</v>
      </c>
      <c r="W35" t="n">
        <v>136</v>
      </c>
      <c r="X35" t="n">
        <v>96</v>
      </c>
      <c r="Y35" t="inlineStr">
        <is>
          <t>P1:17, P2:17, P3:17, P0:12</t>
        </is>
      </c>
      <c r="Z35" t="n">
        <v/>
      </c>
      <c r="AA35" t="n">
        <v/>
      </c>
      <c r="AB35" t="n">
        <v/>
      </c>
    </row>
    <row r="36">
      <c r="A36" t="n">
        <v>7</v>
      </c>
      <c r="B36" t="inlineStr">
        <is>
          <t>RRP_SA</t>
        </is>
      </c>
      <c r="C36" t="inlineStr">
        <is>
          <t>SA</t>
        </is>
      </c>
      <c r="D36" t="n">
        <v>500</v>
      </c>
      <c r="E36" t="n">
        <v>508</v>
      </c>
      <c r="F36" s="3" t="n">
        <v>368.4211126988691</v>
      </c>
      <c r="G36" s="3" t="n">
        <v>2560.616344318718</v>
      </c>
      <c r="H36" s="3" t="n">
        <v>50.40158569999039</v>
      </c>
      <c r="I36" t="n">
        <v>63</v>
      </c>
      <c r="J36" t="n">
        <v>504</v>
      </c>
      <c r="K36" t="n">
        <v>4</v>
      </c>
      <c r="L36" s="4" t="n">
        <v>0.9921259842519685</v>
      </c>
      <c r="M36" s="3" t="n">
        <v>0.1837737463907588</v>
      </c>
      <c r="N36" s="3" t="n">
        <v>0.01004264490842048</v>
      </c>
      <c r="O36" s="3" t="n">
        <v>5.847954169823319</v>
      </c>
      <c r="P36" s="4" t="n">
        <v>0.8888888888888888</v>
      </c>
      <c r="Q36" t="n">
        <v>21</v>
      </c>
      <c r="R36" t="n">
        <v>18</v>
      </c>
      <c r="S36" t="n">
        <v>17</v>
      </c>
      <c r="T36" t="n">
        <v>7</v>
      </c>
      <c r="U36" t="n">
        <v>168</v>
      </c>
      <c r="V36" t="n">
        <v>144</v>
      </c>
      <c r="W36" t="n">
        <v>136</v>
      </c>
      <c r="X36" t="n">
        <v>56</v>
      </c>
      <c r="Y36" t="inlineStr">
        <is>
          <t>P1:21, P2:18, P3:17, P0:7</t>
        </is>
      </c>
      <c r="Z36" t="n">
        <v/>
      </c>
      <c r="AA36" t="n">
        <v/>
      </c>
      <c r="AB36" t="n">
        <v/>
      </c>
    </row>
    <row r="37">
      <c r="A37" t="n">
        <v>8</v>
      </c>
      <c r="B37" t="inlineStr">
        <is>
          <t>RRP_KMEANS</t>
        </is>
      </c>
      <c r="C37" t="inlineStr">
        <is>
          <t>KMeans</t>
        </is>
      </c>
      <c r="D37" t="n">
        <v>500</v>
      </c>
      <c r="E37" t="n">
        <v>504</v>
      </c>
      <c r="F37" s="3" t="n">
        <v>281.7500056962408</v>
      </c>
      <c r="G37" s="3" t="n">
        <v>2361.842510372153</v>
      </c>
      <c r="H37" s="3" t="n">
        <v>0.06314840000413824</v>
      </c>
      <c r="I37" t="n">
        <v>61</v>
      </c>
      <c r="J37" t="n">
        <v>488</v>
      </c>
      <c r="K37" t="n">
        <v>16</v>
      </c>
      <c r="L37" s="4" t="n">
        <v>0.9682539682539683</v>
      </c>
      <c r="M37" s="3" t="n">
        <v>0.08196534549481398</v>
      </c>
      <c r="N37" s="3" t="n">
        <v>0.006386783053111561</v>
      </c>
      <c r="O37" s="3" t="n">
        <v>4.61885255239739</v>
      </c>
      <c r="P37" s="4" t="n">
        <v>0.7704918032786885</v>
      </c>
      <c r="Q37" t="n">
        <v>12</v>
      </c>
      <c r="R37" t="n">
        <v>19</v>
      </c>
      <c r="S37" t="n">
        <v>16</v>
      </c>
      <c r="T37" t="n">
        <v>14</v>
      </c>
      <c r="U37" t="n">
        <v>96</v>
      </c>
      <c r="V37" t="n">
        <v>152</v>
      </c>
      <c r="W37" t="n">
        <v>128</v>
      </c>
      <c r="X37" t="n">
        <v>112</v>
      </c>
      <c r="Y37" t="inlineStr">
        <is>
          <t>P1:12, P2:19, P3:16, P0:14</t>
        </is>
      </c>
      <c r="Z37" t="n">
        <v/>
      </c>
      <c r="AA37" t="n">
        <v/>
      </c>
      <c r="AB37" t="n">
        <v/>
      </c>
    </row>
    <row r="38">
      <c r="A38" t="n">
        <v>8</v>
      </c>
      <c r="B38" t="inlineStr">
        <is>
          <t>RRP_KMEANS_VNS</t>
        </is>
      </c>
      <c r="C38" t="inlineStr">
        <is>
          <t>KMeans_VNS</t>
        </is>
      </c>
      <c r="D38" t="n">
        <v>500</v>
      </c>
      <c r="E38" t="n">
        <v>520</v>
      </c>
      <c r="F38" s="3" t="n">
        <v>322.6905412587171</v>
      </c>
      <c r="G38" s="3" t="n">
        <v>2529.545698368229</v>
      </c>
      <c r="H38" s="3" t="n">
        <v>0.9498434999986785</v>
      </c>
      <c r="I38" t="n">
        <v>63</v>
      </c>
      <c r="J38" t="n">
        <v>504</v>
      </c>
      <c r="K38" t="n">
        <v>16</v>
      </c>
      <c r="L38" s="4" t="n">
        <v>0.9692307692307692</v>
      </c>
      <c r="M38" s="3" t="n">
        <v>0.0982408702485502</v>
      </c>
      <c r="N38" s="3" t="n">
        <v>-0.00048969265542807</v>
      </c>
      <c r="O38" s="3" t="n">
        <v>5.122072083471701</v>
      </c>
      <c r="P38" s="4" t="n">
        <v>0.8412698412698413</v>
      </c>
      <c r="Q38" t="n">
        <v>14</v>
      </c>
      <c r="R38" t="n">
        <v>22</v>
      </c>
      <c r="S38" t="n">
        <v>17</v>
      </c>
      <c r="T38" t="n">
        <v>10</v>
      </c>
      <c r="U38" t="n">
        <v>112</v>
      </c>
      <c r="V38" t="n">
        <v>176</v>
      </c>
      <c r="W38" t="n">
        <v>136</v>
      </c>
      <c r="X38" t="n">
        <v>80</v>
      </c>
      <c r="Y38" t="inlineStr">
        <is>
          <t>P1:14, P2:22, P3:17, P0:10</t>
        </is>
      </c>
      <c r="Z38" t="n">
        <v/>
      </c>
      <c r="AA38" t="n">
        <v/>
      </c>
      <c r="AB38" t="n">
        <v/>
      </c>
    </row>
    <row r="39">
      <c r="A39" t="n">
        <v>8</v>
      </c>
      <c r="B39" t="inlineStr">
        <is>
          <t>RRP_MS_KMEANS_VNS</t>
        </is>
      </c>
      <c r="C39" t="inlineStr">
        <is>
          <t>MS_KMeans_VNS</t>
        </is>
      </c>
      <c r="D39" t="n">
        <v>500</v>
      </c>
      <c r="E39" t="n">
        <v>504</v>
      </c>
      <c r="F39" s="3" t="n">
        <v>316.6958687401778</v>
      </c>
      <c r="G39" s="3" t="n">
        <v>2587.520699938341</v>
      </c>
      <c r="H39" s="3" t="n">
        <v>2.770045099998242</v>
      </c>
      <c r="I39" t="n">
        <v>63</v>
      </c>
      <c r="J39" t="n">
        <v>504</v>
      </c>
      <c r="K39" t="n">
        <v>0</v>
      </c>
      <c r="L39" s="4" t="n">
        <v>1</v>
      </c>
      <c r="M39" s="3" t="n">
        <v>0.09654960629275716</v>
      </c>
      <c r="N39" s="3" t="n">
        <v>-0.01091466600152368</v>
      </c>
      <c r="O39" s="3" t="n">
        <v>5.026918551431394</v>
      </c>
      <c r="P39" s="4" t="n">
        <v>0.8253968253968254</v>
      </c>
      <c r="Q39" t="n">
        <v>14</v>
      </c>
      <c r="R39" t="n">
        <v>21</v>
      </c>
      <c r="S39" t="n">
        <v>17</v>
      </c>
      <c r="T39" t="n">
        <v>11</v>
      </c>
      <c r="U39" t="n">
        <v>112</v>
      </c>
      <c r="V39" t="n">
        <v>168</v>
      </c>
      <c r="W39" t="n">
        <v>136</v>
      </c>
      <c r="X39" t="n">
        <v>88</v>
      </c>
      <c r="Y39" t="inlineStr">
        <is>
          <t>P1:14, P2:21, P3:17, P0:11</t>
        </is>
      </c>
      <c r="Z39" t="n">
        <v/>
      </c>
      <c r="AA39" t="n">
        <v/>
      </c>
      <c r="AB39" t="n">
        <v/>
      </c>
    </row>
    <row r="40">
      <c r="A40" t="n">
        <v>8</v>
      </c>
      <c r="B40" t="inlineStr">
        <is>
          <t>RRP_GA</t>
        </is>
      </c>
      <c r="C40" t="inlineStr">
        <is>
          <t>GA</t>
        </is>
      </c>
      <c r="D40" t="n">
        <v>500</v>
      </c>
      <c r="E40" t="n">
        <v>512</v>
      </c>
      <c r="F40" s="3" t="n">
        <v>329.6501010559215</v>
      </c>
      <c r="G40" s="3" t="n">
        <v>2575.353886554301</v>
      </c>
      <c r="H40" s="3" t="n">
        <v>3.378580999997212</v>
      </c>
      <c r="I40" t="n">
        <v>62</v>
      </c>
      <c r="J40" t="n">
        <v>496</v>
      </c>
      <c r="K40" t="n">
        <v>16</v>
      </c>
      <c r="L40" s="4" t="n">
        <v>0.96875</v>
      </c>
      <c r="M40" s="3" t="n">
        <v>0.1128706271221078</v>
      </c>
      <c r="N40" s="3" t="n">
        <v>0.02786557082443823</v>
      </c>
      <c r="O40" s="3" t="n">
        <v>5.316937113805186</v>
      </c>
      <c r="P40" s="4" t="n">
        <v>0.8548387096774194</v>
      </c>
      <c r="Q40" t="n">
        <v>15</v>
      </c>
      <c r="R40" t="n">
        <v>22</v>
      </c>
      <c r="S40" t="n">
        <v>16</v>
      </c>
      <c r="T40" t="n">
        <v>9</v>
      </c>
      <c r="U40" t="n">
        <v>120</v>
      </c>
      <c r="V40" t="n">
        <v>176</v>
      </c>
      <c r="W40" t="n">
        <v>128</v>
      </c>
      <c r="X40" t="n">
        <v>72</v>
      </c>
      <c r="Y40" t="inlineStr">
        <is>
          <t>P1:15, P2:22, P3:16, P0:9</t>
        </is>
      </c>
      <c r="Z40" t="n">
        <v/>
      </c>
      <c r="AA40" t="n">
        <v/>
      </c>
      <c r="AB40" t="n">
        <v/>
      </c>
    </row>
    <row r="41">
      <c r="A41" t="n">
        <v>8</v>
      </c>
      <c r="B41" t="inlineStr">
        <is>
          <t>RRP_SA</t>
        </is>
      </c>
      <c r="C41" t="inlineStr">
        <is>
          <t>SA</t>
        </is>
      </c>
      <c r="D41" t="n">
        <v>500</v>
      </c>
      <c r="E41" t="n">
        <v>504</v>
      </c>
      <c r="F41" s="3" t="n">
        <v>362.4498969894714</v>
      </c>
      <c r="G41" s="3" t="n">
        <v>2923.06624130819</v>
      </c>
      <c r="H41" s="3" t="n">
        <v>52.34718639998755</v>
      </c>
      <c r="I41" t="n">
        <v>62</v>
      </c>
      <c r="J41" t="n">
        <v>496</v>
      </c>
      <c r="K41" t="n">
        <v>8</v>
      </c>
      <c r="L41" s="4" t="n">
        <v>0.9841269841269841</v>
      </c>
      <c r="M41" s="3" t="n">
        <v>0.1774525840415158</v>
      </c>
      <c r="N41" s="3" t="n">
        <v>0.01926963748477074</v>
      </c>
      <c r="O41" s="3" t="n">
        <v>5.845966080475344</v>
      </c>
      <c r="P41" s="4" t="n">
        <v>0.9193548387096774</v>
      </c>
      <c r="Q41" t="n">
        <v>18</v>
      </c>
      <c r="R41" t="n">
        <v>22</v>
      </c>
      <c r="S41" t="n">
        <v>17</v>
      </c>
      <c r="T41" t="n">
        <v>5</v>
      </c>
      <c r="U41" t="n">
        <v>144</v>
      </c>
      <c r="V41" t="n">
        <v>176</v>
      </c>
      <c r="W41" t="n">
        <v>136</v>
      </c>
      <c r="X41" t="n">
        <v>40</v>
      </c>
      <c r="Y41" t="inlineStr">
        <is>
          <t>P1:18, P2:22, P3:17, P0:5</t>
        </is>
      </c>
      <c r="Z41" t="n">
        <v/>
      </c>
      <c r="AA41" t="n">
        <v/>
      </c>
      <c r="AB41" t="n">
        <v/>
      </c>
    </row>
    <row r="42">
      <c r="A42" t="n">
        <v>9</v>
      </c>
      <c r="B42" t="inlineStr">
        <is>
          <t>RRP_KMEANS</t>
        </is>
      </c>
      <c r="C42" t="inlineStr">
        <is>
          <t>KMeans</t>
        </is>
      </c>
      <c r="D42" t="n">
        <v>500</v>
      </c>
      <c r="E42" t="n">
        <v>516</v>
      </c>
      <c r="F42" s="3" t="n">
        <v>286.7422106826039</v>
      </c>
      <c r="G42" s="3" t="n">
        <v>2648.584721054757</v>
      </c>
      <c r="H42" s="3" t="n">
        <v>0.2929394000093453</v>
      </c>
      <c r="I42" t="n">
        <v>61</v>
      </c>
      <c r="J42" t="n">
        <v>488</v>
      </c>
      <c r="K42" t="n">
        <v>28</v>
      </c>
      <c r="L42" s="4" t="n">
        <v>0.9457364341085271</v>
      </c>
      <c r="M42" s="3" t="n">
        <v>0.08452108767086836</v>
      </c>
      <c r="N42" s="3" t="n">
        <v>0.0115457992170498</v>
      </c>
      <c r="O42" s="3" t="n">
        <v>4.700691978403342</v>
      </c>
      <c r="P42" s="4" t="n">
        <v>0.7704918032786885</v>
      </c>
      <c r="Q42" t="n">
        <v>14</v>
      </c>
      <c r="R42" t="n">
        <v>16</v>
      </c>
      <c r="S42" t="n">
        <v>17</v>
      </c>
      <c r="T42" t="n">
        <v>14</v>
      </c>
      <c r="U42" t="n">
        <v>112</v>
      </c>
      <c r="V42" t="n">
        <v>128</v>
      </c>
      <c r="W42" t="n">
        <v>136</v>
      </c>
      <c r="X42" t="n">
        <v>112</v>
      </c>
      <c r="Y42" t="inlineStr">
        <is>
          <t>P1:14, P2:16, P3:17, P0:14</t>
        </is>
      </c>
      <c r="Z42" t="n">
        <v/>
      </c>
      <c r="AA42" t="n">
        <v/>
      </c>
      <c r="AB42" t="n">
        <v/>
      </c>
    </row>
    <row r="43">
      <c r="A43" t="n">
        <v>9</v>
      </c>
      <c r="B43" t="inlineStr">
        <is>
          <t>RRP_KMEANS_VNS</t>
        </is>
      </c>
      <c r="C43" t="inlineStr">
        <is>
          <t>KMeans_VNS</t>
        </is>
      </c>
      <c r="D43" t="n">
        <v>500</v>
      </c>
      <c r="E43" t="n">
        <v>516</v>
      </c>
      <c r="F43" s="3" t="n">
        <v>328.6401571920397</v>
      </c>
      <c r="G43" s="3" t="n">
        <v>2858.185855560268</v>
      </c>
      <c r="H43" s="3" t="n">
        <v>0.648277300002519</v>
      </c>
      <c r="I43" t="n">
        <v>63</v>
      </c>
      <c r="J43" t="n">
        <v>504</v>
      </c>
      <c r="K43" t="n">
        <v>12</v>
      </c>
      <c r="L43" s="4" t="n">
        <v>0.9767441860465116</v>
      </c>
      <c r="M43" s="3" t="n">
        <v>0.1142358120509208</v>
      </c>
      <c r="N43" s="3" t="n">
        <v>0.01736872410603722</v>
      </c>
      <c r="O43" s="3" t="n">
        <v>5.216510431619677</v>
      </c>
      <c r="P43" s="4" t="n">
        <v>0.8253968253968254</v>
      </c>
      <c r="Q43" t="n">
        <v>17</v>
      </c>
      <c r="R43" t="n">
        <v>18</v>
      </c>
      <c r="S43" t="n">
        <v>17</v>
      </c>
      <c r="T43" t="n">
        <v>11</v>
      </c>
      <c r="U43" t="n">
        <v>136</v>
      </c>
      <c r="V43" t="n">
        <v>144</v>
      </c>
      <c r="W43" t="n">
        <v>136</v>
      </c>
      <c r="X43" t="n">
        <v>88</v>
      </c>
      <c r="Y43" t="inlineStr">
        <is>
          <t>P1:17, P2:18, P3:17, P0:11</t>
        </is>
      </c>
      <c r="Z43" t="n">
        <v/>
      </c>
      <c r="AA43" t="n">
        <v/>
      </c>
      <c r="AB43" t="n">
        <v/>
      </c>
    </row>
    <row r="44">
      <c r="A44" t="n">
        <v>9</v>
      </c>
      <c r="B44" t="inlineStr">
        <is>
          <t>RRP_MS_KMEANS_VNS</t>
        </is>
      </c>
      <c r="C44" t="inlineStr">
        <is>
          <t>MS_KMeans_VNS</t>
        </is>
      </c>
      <c r="D44" t="n">
        <v>500</v>
      </c>
      <c r="E44" t="n">
        <v>500</v>
      </c>
      <c r="F44" s="3" t="n">
        <v>329.4392145036189</v>
      </c>
      <c r="G44" s="3" t="n">
        <v>2916.95991444196</v>
      </c>
      <c r="H44" s="3" t="n">
        <v>6.30468820000533</v>
      </c>
      <c r="I44" t="n">
        <v>61</v>
      </c>
      <c r="J44" t="n">
        <v>488</v>
      </c>
      <c r="K44" t="n">
        <v>12</v>
      </c>
      <c r="L44" s="4" t="n">
        <v>0.976</v>
      </c>
      <c r="M44" s="3" t="n">
        <v>0.1838640971741346</v>
      </c>
      <c r="N44" s="3" t="n">
        <v>0.02864213677869121</v>
      </c>
      <c r="O44" s="3" t="n">
        <v>5.400642860715064</v>
      </c>
      <c r="P44" s="4" t="n">
        <v>0.8524590163934426</v>
      </c>
      <c r="Q44" t="n">
        <v>15</v>
      </c>
      <c r="R44" t="n">
        <v>23</v>
      </c>
      <c r="S44" t="n">
        <v>14</v>
      </c>
      <c r="T44" t="n">
        <v>9</v>
      </c>
      <c r="U44" t="n">
        <v>120</v>
      </c>
      <c r="V44" t="n">
        <v>184</v>
      </c>
      <c r="W44" t="n">
        <v>112</v>
      </c>
      <c r="X44" t="n">
        <v>72</v>
      </c>
      <c r="Y44" t="inlineStr">
        <is>
          <t>P1:15, P2:23, P3:14, P0:9</t>
        </is>
      </c>
      <c r="Z44" t="n">
        <v/>
      </c>
      <c r="AA44" t="n">
        <v/>
      </c>
      <c r="AB44" t="n">
        <v/>
      </c>
    </row>
    <row r="45">
      <c r="A45" t="n">
        <v>9</v>
      </c>
      <c r="B45" t="inlineStr">
        <is>
          <t>RRP_GA</t>
        </is>
      </c>
      <c r="C45" t="inlineStr">
        <is>
          <t>GA</t>
        </is>
      </c>
      <c r="D45" t="n">
        <v>500</v>
      </c>
      <c r="E45" t="n">
        <v>516</v>
      </c>
      <c r="F45" s="3" t="n">
        <v>321.6877498142761</v>
      </c>
      <c r="G45" s="3" t="n">
        <v>2897.041636368578</v>
      </c>
      <c r="H45" s="3" t="n">
        <v>2.292000100002042</v>
      </c>
      <c r="I45" t="n">
        <v>63</v>
      </c>
      <c r="J45" t="n">
        <v>504</v>
      </c>
      <c r="K45" t="n">
        <v>12</v>
      </c>
      <c r="L45" s="4" t="n">
        <v>0.9767441860465116</v>
      </c>
      <c r="M45" s="3" t="n">
        <v>0.0991270430869646</v>
      </c>
      <c r="N45" s="3" t="n">
        <v>0.02511672153540732</v>
      </c>
      <c r="O45" s="3" t="n">
        <v>5.106154758956764</v>
      </c>
      <c r="P45" s="4" t="n">
        <v>0.8253968253968254</v>
      </c>
      <c r="Q45" t="n">
        <v>16</v>
      </c>
      <c r="R45" t="n">
        <v>18</v>
      </c>
      <c r="S45" t="n">
        <v>18</v>
      </c>
      <c r="T45" t="n">
        <v>11</v>
      </c>
      <c r="U45" t="n">
        <v>128</v>
      </c>
      <c r="V45" t="n">
        <v>144</v>
      </c>
      <c r="W45" t="n">
        <v>144</v>
      </c>
      <c r="X45" t="n">
        <v>88</v>
      </c>
      <c r="Y45" t="inlineStr">
        <is>
          <t>P1:16, P2:18, P3:18, P0:11</t>
        </is>
      </c>
      <c r="Z45" t="n">
        <v/>
      </c>
      <c r="AA45" t="n">
        <v/>
      </c>
      <c r="AB45" t="n">
        <v/>
      </c>
    </row>
    <row r="46">
      <c r="A46" t="n">
        <v>9</v>
      </c>
      <c r="B46" t="inlineStr">
        <is>
          <t>RRP_SA</t>
        </is>
      </c>
      <c r="C46" t="inlineStr">
        <is>
          <t>SA</t>
        </is>
      </c>
      <c r="D46" t="n">
        <v>500</v>
      </c>
      <c r="E46" t="n">
        <v>508</v>
      </c>
      <c r="F46" s="3" t="n">
        <v>368.3490064301398</v>
      </c>
      <c r="G46" s="3" t="n">
        <v>3291.41524773833</v>
      </c>
      <c r="H46" s="3" t="n">
        <v>51.82758460000332</v>
      </c>
      <c r="I46" t="n">
        <v>63</v>
      </c>
      <c r="J46" t="n">
        <v>504</v>
      </c>
      <c r="K46" t="n">
        <v>4</v>
      </c>
      <c r="L46" s="4" t="n">
        <v>0.9921259842519685</v>
      </c>
      <c r="M46" s="3" t="n">
        <v>0.2066646253524306</v>
      </c>
      <c r="N46" s="3" t="n">
        <v>-0.002915511823705757</v>
      </c>
      <c r="O46" s="3" t="n">
        <v>5.846809625875235</v>
      </c>
      <c r="P46" s="4" t="n">
        <v>0.873015873015873</v>
      </c>
      <c r="Q46" t="n">
        <v>21</v>
      </c>
      <c r="R46" t="n">
        <v>19</v>
      </c>
      <c r="S46" t="n">
        <v>15</v>
      </c>
      <c r="T46" t="n">
        <v>8</v>
      </c>
      <c r="U46" t="n">
        <v>168</v>
      </c>
      <c r="V46" t="n">
        <v>152</v>
      </c>
      <c r="W46" t="n">
        <v>120</v>
      </c>
      <c r="X46" t="n">
        <v>64</v>
      </c>
      <c r="Y46" t="inlineStr">
        <is>
          <t>P1:21, P2:19, P3:15, P0:8</t>
        </is>
      </c>
      <c r="Z46" t="n">
        <v/>
      </c>
      <c r="AA46" t="n">
        <v/>
      </c>
      <c r="AB46" t="n">
        <v/>
      </c>
    </row>
    <row r="47">
      <c r="A47" t="n">
        <v>10</v>
      </c>
      <c r="B47" t="inlineStr">
        <is>
          <t>RRP_KMEANS</t>
        </is>
      </c>
      <c r="C47" t="inlineStr">
        <is>
          <t>KMeans</t>
        </is>
      </c>
      <c r="D47" t="n">
        <v>500</v>
      </c>
      <c r="E47" t="n">
        <v>528</v>
      </c>
      <c r="F47" s="3" t="n">
        <v>307.7540753027646</v>
      </c>
      <c r="G47" s="3" t="n">
        <v>2956.338796357522</v>
      </c>
      <c r="H47" s="3" t="n">
        <v>0.4401246999914292</v>
      </c>
      <c r="I47" t="n">
        <v>64</v>
      </c>
      <c r="J47" t="n">
        <v>512</v>
      </c>
      <c r="K47" t="n">
        <v>16</v>
      </c>
      <c r="L47" s="4" t="n">
        <v>0.9696969696969697</v>
      </c>
      <c r="M47" s="3" t="n">
        <v>0.07685146788605435</v>
      </c>
      <c r="N47" s="3" t="n">
        <v>0.003611240377511406</v>
      </c>
      <c r="O47" s="3" t="n">
        <v>4.808657426605698</v>
      </c>
      <c r="P47" s="4" t="n">
        <v>0.78125</v>
      </c>
      <c r="Q47" t="n">
        <v>14</v>
      </c>
      <c r="R47" t="n">
        <v>20</v>
      </c>
      <c r="S47" t="n">
        <v>16</v>
      </c>
      <c r="T47" t="n">
        <v>14</v>
      </c>
      <c r="U47" t="n">
        <v>112</v>
      </c>
      <c r="V47" t="n">
        <v>160</v>
      </c>
      <c r="W47" t="n">
        <v>128</v>
      </c>
      <c r="X47" t="n">
        <v>112</v>
      </c>
      <c r="Y47" t="inlineStr">
        <is>
          <t>P1:14, P2:20, P3:16, P0:14</t>
        </is>
      </c>
      <c r="Z47" t="n">
        <v/>
      </c>
      <c r="AA47" t="n">
        <v/>
      </c>
      <c r="AB47" t="n">
        <v/>
      </c>
    </row>
    <row r="48">
      <c r="A48" t="n">
        <v>10</v>
      </c>
      <c r="B48" t="inlineStr">
        <is>
          <t>RRP_KMEANS_VNS</t>
        </is>
      </c>
      <c r="C48" t="inlineStr">
        <is>
          <t>KMeans_VNS</t>
        </is>
      </c>
      <c r="D48" t="n">
        <v>500</v>
      </c>
      <c r="E48" t="n">
        <v>512</v>
      </c>
      <c r="F48" s="3" t="n">
        <v>307.7061053420726</v>
      </c>
      <c r="G48" s="3" t="n">
        <v>3165.891960902341</v>
      </c>
      <c r="H48" s="3" t="n">
        <v>0.490443900009268</v>
      </c>
      <c r="I48" t="n">
        <v>64</v>
      </c>
      <c r="J48" t="n">
        <v>512</v>
      </c>
      <c r="K48" t="n">
        <v>0</v>
      </c>
      <c r="L48" s="4" t="n">
        <v>1</v>
      </c>
      <c r="M48" s="3" t="n">
        <v>0.09184208060231611</v>
      </c>
      <c r="N48" s="3" t="n">
        <v>-0.0285379148474402</v>
      </c>
      <c r="O48" s="3" t="n">
        <v>4.807907895969884</v>
      </c>
      <c r="P48" s="4" t="n">
        <v>0.8125</v>
      </c>
      <c r="Q48" t="n">
        <v>14</v>
      </c>
      <c r="R48" t="n">
        <v>18</v>
      </c>
      <c r="S48" t="n">
        <v>20</v>
      </c>
      <c r="T48" t="n">
        <v>12</v>
      </c>
      <c r="U48" t="n">
        <v>112</v>
      </c>
      <c r="V48" t="n">
        <v>144</v>
      </c>
      <c r="W48" t="n">
        <v>160</v>
      </c>
      <c r="X48" t="n">
        <v>96</v>
      </c>
      <c r="Y48" t="inlineStr">
        <is>
          <t>P1:14, P2:18, P3:20, P0:12</t>
        </is>
      </c>
      <c r="Z48" t="n">
        <v/>
      </c>
      <c r="AA48" t="n">
        <v/>
      </c>
      <c r="AB48" t="n">
        <v/>
      </c>
    </row>
    <row r="49">
      <c r="A49" t="n">
        <v>10</v>
      </c>
      <c r="B49" t="inlineStr">
        <is>
          <t>RRP_MS_KMEANS_VNS</t>
        </is>
      </c>
      <c r="C49" t="inlineStr">
        <is>
          <t>MS_KMeans_VNS</t>
        </is>
      </c>
      <c r="D49" t="n">
        <v>500</v>
      </c>
      <c r="E49" t="n">
        <v>512</v>
      </c>
      <c r="F49" s="3" t="n">
        <v>322.7327896102294</v>
      </c>
      <c r="G49" s="3" t="n">
        <v>3239.69270405219</v>
      </c>
      <c r="H49" s="3" t="n">
        <v>2.775053999997908</v>
      </c>
      <c r="I49" t="n">
        <v>63</v>
      </c>
      <c r="J49" t="n">
        <v>504</v>
      </c>
      <c r="K49" t="n">
        <v>8</v>
      </c>
      <c r="L49" s="4" t="n">
        <v>0.984375</v>
      </c>
      <c r="M49" s="3" t="n">
        <v>0.08482869516530731</v>
      </c>
      <c r="N49" s="3" t="n">
        <v>-0.01385806015808877</v>
      </c>
      <c r="O49" s="3" t="n">
        <v>5.122742692225863</v>
      </c>
      <c r="P49" s="4" t="n">
        <v>0.8412698412698413</v>
      </c>
      <c r="Q49" t="n">
        <v>14</v>
      </c>
      <c r="R49" t="n">
        <v>22</v>
      </c>
      <c r="S49" t="n">
        <v>17</v>
      </c>
      <c r="T49" t="n">
        <v>10</v>
      </c>
      <c r="U49" t="n">
        <v>112</v>
      </c>
      <c r="V49" t="n">
        <v>176</v>
      </c>
      <c r="W49" t="n">
        <v>136</v>
      </c>
      <c r="X49" t="n">
        <v>80</v>
      </c>
      <c r="Y49" t="inlineStr">
        <is>
          <t>P1:14, P2:22, P3:17, P0:10</t>
        </is>
      </c>
      <c r="Z49" t="n">
        <v/>
      </c>
      <c r="AA49" t="n">
        <v/>
      </c>
      <c r="AB49" t="n">
        <v/>
      </c>
    </row>
    <row r="50">
      <c r="A50" t="n">
        <v>10</v>
      </c>
      <c r="B50" t="inlineStr">
        <is>
          <t>RRP_GA</t>
        </is>
      </c>
      <c r="C50" t="inlineStr">
        <is>
          <t>GA</t>
        </is>
      </c>
      <c r="D50" t="n">
        <v>500</v>
      </c>
      <c r="E50" t="n">
        <v>512</v>
      </c>
      <c r="F50" s="3" t="n">
        <v>313.7212162307334</v>
      </c>
      <c r="G50" s="3" t="n">
        <v>3210.762852599311</v>
      </c>
      <c r="H50" s="3" t="n">
        <v>4.389155700002448</v>
      </c>
      <c r="I50" t="n">
        <v>63</v>
      </c>
      <c r="J50" t="n">
        <v>504</v>
      </c>
      <c r="K50" t="n">
        <v>8</v>
      </c>
      <c r="L50" s="4" t="n">
        <v>0.984375</v>
      </c>
      <c r="M50" s="3" t="n">
        <v>0.08850278389415152</v>
      </c>
      <c r="N50" s="3" t="n">
        <v>-0.02008421318677944</v>
      </c>
      <c r="O50" s="3" t="n">
        <v>4.979701844932276</v>
      </c>
      <c r="P50" s="4" t="n">
        <v>0.8412698412698413</v>
      </c>
      <c r="Q50" t="n">
        <v>14</v>
      </c>
      <c r="R50" t="n">
        <v>19</v>
      </c>
      <c r="S50" t="n">
        <v>20</v>
      </c>
      <c r="T50" t="n">
        <v>10</v>
      </c>
      <c r="U50" t="n">
        <v>112</v>
      </c>
      <c r="V50" t="n">
        <v>152</v>
      </c>
      <c r="W50" t="n">
        <v>160</v>
      </c>
      <c r="X50" t="n">
        <v>80</v>
      </c>
      <c r="Y50" t="inlineStr">
        <is>
          <t>P1:14, P2:19, P3:20, P0:10</t>
        </is>
      </c>
      <c r="Z50" t="n">
        <v/>
      </c>
      <c r="AA50" t="n">
        <v/>
      </c>
      <c r="AB50" t="n">
        <v/>
      </c>
    </row>
    <row r="51">
      <c r="A51" t="n">
        <v>10</v>
      </c>
      <c r="B51" t="inlineStr">
        <is>
          <t>RRP_SA</t>
        </is>
      </c>
      <c r="C51" t="inlineStr">
        <is>
          <t>SA</t>
        </is>
      </c>
      <c r="D51" t="n">
        <v>500</v>
      </c>
      <c r="E51" t="n">
        <v>504</v>
      </c>
      <c r="F51" s="3" t="n">
        <v>354.3874589666207</v>
      </c>
      <c r="G51" s="3" t="n">
        <v>3645.80270670495</v>
      </c>
      <c r="H51" s="3" t="n">
        <v>51.88538749999134</v>
      </c>
      <c r="I51" t="n">
        <v>62</v>
      </c>
      <c r="J51" t="n">
        <v>496</v>
      </c>
      <c r="K51" t="n">
        <v>8</v>
      </c>
      <c r="L51" s="4" t="n">
        <v>0.9841269841269841</v>
      </c>
      <c r="M51" s="3" t="n">
        <v>0.1975938817352613</v>
      </c>
      <c r="N51" s="3" t="n">
        <v>-0.01301658207548551</v>
      </c>
      <c r="O51" s="3" t="n">
        <v>5.71592675752614</v>
      </c>
      <c r="P51" s="4" t="n">
        <v>0.9354838709677419</v>
      </c>
      <c r="Q51" t="n">
        <v>16</v>
      </c>
      <c r="R51" t="n">
        <v>23</v>
      </c>
      <c r="S51" t="n">
        <v>19</v>
      </c>
      <c r="T51" t="n">
        <v>4</v>
      </c>
      <c r="U51" t="n">
        <v>128</v>
      </c>
      <c r="V51" t="n">
        <v>184</v>
      </c>
      <c r="W51" t="n">
        <v>152</v>
      </c>
      <c r="X51" t="n">
        <v>32</v>
      </c>
      <c r="Y51" t="inlineStr">
        <is>
          <t>P1:16, P2:23, P3:19, P0:4</t>
        </is>
      </c>
      <c r="Z51" t="n">
        <v/>
      </c>
      <c r="AA51" t="n">
        <v/>
      </c>
      <c r="AB51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3" max="3"/>
    <col width="22" customWidth="1" min="4" max="4"/>
    <col width="16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2" t="inlineStr">
        <is>
          <t>method</t>
        </is>
      </c>
      <c r="B1" s="2" t="inlineStr">
        <is>
          <t>method_label</t>
        </is>
      </c>
      <c r="C1" s="2" t="inlineStr">
        <is>
          <t>total_reward</t>
        </is>
      </c>
      <c r="D1" s="2" t="inlineStr">
        <is>
          <t>final_cumulative_reward</t>
        </is>
      </c>
      <c r="E1" s="2" t="inlineStr">
        <is>
          <t>total_runtime</t>
        </is>
      </c>
      <c r="F1" s="2" t="inlineStr">
        <is>
          <t>avg_runtime</t>
        </is>
      </c>
      <c r="G1" s="2" t="inlineStr">
        <is>
          <t>total_packs</t>
        </is>
      </c>
      <c r="H1" s="2" t="inlineStr">
        <is>
          <t>total_used_cells</t>
        </is>
      </c>
      <c r="I1" s="2" t="inlineStr">
        <is>
          <t>final_leftover</t>
        </is>
      </c>
      <c r="J1" s="2" t="inlineStr">
        <is>
          <t>P1_cells_total</t>
        </is>
      </c>
      <c r="K1" s="2" t="inlineStr">
        <is>
          <t>P2_cells_total</t>
        </is>
      </c>
      <c r="L1" s="2" t="inlineStr">
        <is>
          <t>P3_cells_total</t>
        </is>
      </c>
      <c r="M1" s="2" t="inlineStr">
        <is>
          <t>P0_cells_total</t>
        </is>
      </c>
    </row>
    <row r="2">
      <c r="A2" t="inlineStr">
        <is>
          <t>RRP_KMEANS</t>
        </is>
      </c>
      <c r="B2" t="inlineStr">
        <is>
          <t>KMeans</t>
        </is>
      </c>
      <c r="C2" s="3">
        <f>SUMIFS(Round_Results!$F:$F,Round_Results!$B:$B,$A2)</f>
        <v/>
      </c>
      <c r="D2" s="3">
        <f>MAXIFS(Round_Results!$G:$G,Round_Results!$B:$B,$A2)</f>
        <v/>
      </c>
      <c r="E2" s="3">
        <f>SUMIFS(Round_Results!$H:$H,Round_Results!$B:$B,$A2)</f>
        <v/>
      </c>
      <c r="F2" s="3">
        <f>AVERAGEIFS(Round_Results!$H:$H,Round_Results!$B:$B,$A2)</f>
        <v/>
      </c>
      <c r="G2" s="3">
        <f>SUMIFS(Round_Results!$I:$I,Round_Results!$B:$B,$A2)</f>
        <v/>
      </c>
      <c r="H2" s="3">
        <f>SUMIFS(Round_Results!$J:$J,Round_Results!$B:$B,$A2)</f>
        <v/>
      </c>
      <c r="I2" s="3">
        <f>MAXIFS(Round_Results!$K:$K,Round_Results!$B:$B,$A2,Round_Results!$A:$A,10)</f>
        <v/>
      </c>
      <c r="J2" s="3">
        <f>SUMIFS(Round_Results!$U:$U,Round_Results!$B:$B,$A2)</f>
        <v/>
      </c>
      <c r="K2" s="3">
        <f>SUMIFS(Round_Results!$V:$V,Round_Results!$B:$B,$A2)</f>
        <v/>
      </c>
      <c r="L2" s="3">
        <f>SUMIFS(Round_Results!$W:$W,Round_Results!$B:$B,$A2)</f>
        <v/>
      </c>
      <c r="M2" s="3">
        <f>SUMIFS(Round_Results!$X:$X,Round_Results!$B:$B,$A2)</f>
        <v/>
      </c>
    </row>
    <row r="3">
      <c r="A3" t="inlineStr">
        <is>
          <t>RRP_KMEANS_VNS</t>
        </is>
      </c>
      <c r="B3" t="inlineStr">
        <is>
          <t>KMeans_VNS</t>
        </is>
      </c>
      <c r="C3" s="3">
        <f>SUMIFS(Round_Results!$F:$F,Round_Results!$B:$B,$A3)</f>
        <v/>
      </c>
      <c r="D3" s="3">
        <f>MAXIFS(Round_Results!$G:$G,Round_Results!$B:$B,$A3)</f>
        <v/>
      </c>
      <c r="E3" s="3">
        <f>SUMIFS(Round_Results!$H:$H,Round_Results!$B:$B,$A3)</f>
        <v/>
      </c>
      <c r="F3" s="3">
        <f>AVERAGEIFS(Round_Results!$H:$H,Round_Results!$B:$B,$A3)</f>
        <v/>
      </c>
      <c r="G3" s="3">
        <f>SUMIFS(Round_Results!$I:$I,Round_Results!$B:$B,$A3)</f>
        <v/>
      </c>
      <c r="H3" s="3">
        <f>SUMIFS(Round_Results!$J:$J,Round_Results!$B:$B,$A3)</f>
        <v/>
      </c>
      <c r="I3" s="3">
        <f>MAXIFS(Round_Results!$K:$K,Round_Results!$B:$B,$A3,Round_Results!$A:$A,10)</f>
        <v/>
      </c>
      <c r="J3" s="3">
        <f>SUMIFS(Round_Results!$U:$U,Round_Results!$B:$B,$A3)</f>
        <v/>
      </c>
      <c r="K3" s="3">
        <f>SUMIFS(Round_Results!$V:$V,Round_Results!$B:$B,$A3)</f>
        <v/>
      </c>
      <c r="L3" s="3">
        <f>SUMIFS(Round_Results!$W:$W,Round_Results!$B:$B,$A3)</f>
        <v/>
      </c>
      <c r="M3" s="3">
        <f>SUMIFS(Round_Results!$X:$X,Round_Results!$B:$B,$A3)</f>
        <v/>
      </c>
    </row>
    <row r="4">
      <c r="A4" t="inlineStr">
        <is>
          <t>RRP_MS_KMEANS_VNS</t>
        </is>
      </c>
      <c r="B4" t="inlineStr">
        <is>
          <t>MS_KMeans_VNS</t>
        </is>
      </c>
      <c r="C4" s="3">
        <f>SUMIFS(Round_Results!$F:$F,Round_Results!$B:$B,$A4)</f>
        <v/>
      </c>
      <c r="D4" s="3">
        <f>MAXIFS(Round_Results!$G:$G,Round_Results!$B:$B,$A4)</f>
        <v/>
      </c>
      <c r="E4" s="3">
        <f>SUMIFS(Round_Results!$H:$H,Round_Results!$B:$B,$A4)</f>
        <v/>
      </c>
      <c r="F4" s="3">
        <f>AVERAGEIFS(Round_Results!$H:$H,Round_Results!$B:$B,$A4)</f>
        <v/>
      </c>
      <c r="G4" s="3">
        <f>SUMIFS(Round_Results!$I:$I,Round_Results!$B:$B,$A4)</f>
        <v/>
      </c>
      <c r="H4" s="3">
        <f>SUMIFS(Round_Results!$J:$J,Round_Results!$B:$B,$A4)</f>
        <v/>
      </c>
      <c r="I4" s="3">
        <f>MAXIFS(Round_Results!$K:$K,Round_Results!$B:$B,$A4,Round_Results!$A:$A,10)</f>
        <v/>
      </c>
      <c r="J4" s="3">
        <f>SUMIFS(Round_Results!$U:$U,Round_Results!$B:$B,$A4)</f>
        <v/>
      </c>
      <c r="K4" s="3">
        <f>SUMIFS(Round_Results!$V:$V,Round_Results!$B:$B,$A4)</f>
        <v/>
      </c>
      <c r="L4" s="3">
        <f>SUMIFS(Round_Results!$W:$W,Round_Results!$B:$B,$A4)</f>
        <v/>
      </c>
      <c r="M4" s="3">
        <f>SUMIFS(Round_Results!$X:$X,Round_Results!$B:$B,$A4)</f>
        <v/>
      </c>
    </row>
    <row r="5">
      <c r="A5" t="inlineStr">
        <is>
          <t>RRP_GA</t>
        </is>
      </c>
      <c r="B5" t="inlineStr">
        <is>
          <t>GA</t>
        </is>
      </c>
      <c r="C5" s="3">
        <f>SUMIFS(Round_Results!$F:$F,Round_Results!$B:$B,$A5)</f>
        <v/>
      </c>
      <c r="D5" s="3">
        <f>MAXIFS(Round_Results!$G:$G,Round_Results!$B:$B,$A5)</f>
        <v/>
      </c>
      <c r="E5" s="3">
        <f>SUMIFS(Round_Results!$H:$H,Round_Results!$B:$B,$A5)</f>
        <v/>
      </c>
      <c r="F5" s="3">
        <f>AVERAGEIFS(Round_Results!$H:$H,Round_Results!$B:$B,$A5)</f>
        <v/>
      </c>
      <c r="G5" s="3">
        <f>SUMIFS(Round_Results!$I:$I,Round_Results!$B:$B,$A5)</f>
        <v/>
      </c>
      <c r="H5" s="3">
        <f>SUMIFS(Round_Results!$J:$J,Round_Results!$B:$B,$A5)</f>
        <v/>
      </c>
      <c r="I5" s="3">
        <f>MAXIFS(Round_Results!$K:$K,Round_Results!$B:$B,$A5,Round_Results!$A:$A,10)</f>
        <v/>
      </c>
      <c r="J5" s="3">
        <f>SUMIFS(Round_Results!$U:$U,Round_Results!$B:$B,$A5)</f>
        <v/>
      </c>
      <c r="K5" s="3">
        <f>SUMIFS(Round_Results!$V:$V,Round_Results!$B:$B,$A5)</f>
        <v/>
      </c>
      <c r="L5" s="3">
        <f>SUMIFS(Round_Results!$W:$W,Round_Results!$B:$B,$A5)</f>
        <v/>
      </c>
      <c r="M5" s="3">
        <f>SUMIFS(Round_Results!$X:$X,Round_Results!$B:$B,$A5)</f>
        <v/>
      </c>
    </row>
    <row r="6">
      <c r="A6" t="inlineStr">
        <is>
          <t>RRP_SA</t>
        </is>
      </c>
      <c r="B6" t="inlineStr">
        <is>
          <t>SA</t>
        </is>
      </c>
      <c r="C6" s="3">
        <f>SUMIFS(Round_Results!$F:$F,Round_Results!$B:$B,$A6)</f>
        <v/>
      </c>
      <c r="D6" s="3">
        <f>MAXIFS(Round_Results!$G:$G,Round_Results!$B:$B,$A6)</f>
        <v/>
      </c>
      <c r="E6" s="3">
        <f>SUMIFS(Round_Results!$H:$H,Round_Results!$B:$B,$A6)</f>
        <v/>
      </c>
      <c r="F6" s="3">
        <f>AVERAGEIFS(Round_Results!$H:$H,Round_Results!$B:$B,$A6)</f>
        <v/>
      </c>
      <c r="G6" s="3">
        <f>SUMIFS(Round_Results!$I:$I,Round_Results!$B:$B,$A6)</f>
        <v/>
      </c>
      <c r="H6" s="3">
        <f>SUMIFS(Round_Results!$J:$J,Round_Results!$B:$B,$A6)</f>
        <v/>
      </c>
      <c r="I6" s="3">
        <f>MAXIFS(Round_Results!$K:$K,Round_Results!$B:$B,$A6,Round_Results!$A:$A,10)</f>
        <v/>
      </c>
      <c r="J6" s="3">
        <f>SUMIFS(Round_Results!$U:$U,Round_Results!$B:$B,$A6)</f>
        <v/>
      </c>
      <c r="K6" s="3">
        <f>SUMIFS(Round_Results!$V:$V,Round_Results!$B:$B,$A6)</f>
        <v/>
      </c>
      <c r="L6" s="3">
        <f>SUMIFS(Round_Results!$W:$W,Round_Results!$B:$B,$A6)</f>
        <v/>
      </c>
      <c r="M6" s="3">
        <f>SUMIFS(Round_Results!$X:$X,Round_Results!$B:$B,$A6)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  <col width="24" customWidth="1" min="6" max="6"/>
  </cols>
  <sheetData>
    <row r="1">
      <c r="A1" s="2" t="inlineStr">
        <is>
          <t>round</t>
        </is>
      </c>
      <c r="B1" s="2" t="inlineStr">
        <is>
          <t>RRP_KMEANS</t>
        </is>
      </c>
      <c r="C1" s="2" t="inlineStr">
        <is>
          <t>RRP_KMEANS_VNS</t>
        </is>
      </c>
      <c r="D1" s="2" t="inlineStr">
        <is>
          <t>RRP_MS_KMEANS_VNS</t>
        </is>
      </c>
      <c r="E1" s="2" t="inlineStr">
        <is>
          <t>RRP_GA</t>
        </is>
      </c>
      <c r="F1" s="2" t="inlineStr">
        <is>
          <t>RRP_SA</t>
        </is>
      </c>
    </row>
    <row r="2">
      <c r="A2" t="n">
        <v>1</v>
      </c>
      <c r="B2" s="3">
        <f>SUMIFS(Round_Results!$F:$F,Round_Results!$B:$B,B$1,Round_Results!$A:$A,"&lt;="&amp;$A2)</f>
        <v/>
      </c>
      <c r="C2" s="3">
        <f>SUMIFS(Round_Results!$F:$F,Round_Results!$B:$B,C$1,Round_Results!$A:$A,"&lt;="&amp;$A2)</f>
        <v/>
      </c>
      <c r="D2" s="3">
        <f>SUMIFS(Round_Results!$F:$F,Round_Results!$B:$B,D$1,Round_Results!$A:$A,"&lt;="&amp;$A2)</f>
        <v/>
      </c>
      <c r="E2" s="3">
        <f>SUMIFS(Round_Results!$F:$F,Round_Results!$B:$B,E$1,Round_Results!$A:$A,"&lt;="&amp;$A2)</f>
        <v/>
      </c>
      <c r="F2" s="3">
        <f>SUMIFS(Round_Results!$F:$F,Round_Results!$B:$B,F$1,Round_Results!$A:$A,"&lt;="&amp;$A2)</f>
        <v/>
      </c>
    </row>
    <row r="3">
      <c r="A3" t="n">
        <v>2</v>
      </c>
      <c r="B3" s="3">
        <f>SUMIFS(Round_Results!$F:$F,Round_Results!$B:$B,B$1,Round_Results!$A:$A,"&lt;="&amp;$A3)</f>
        <v/>
      </c>
      <c r="C3" s="3">
        <f>SUMIFS(Round_Results!$F:$F,Round_Results!$B:$B,C$1,Round_Results!$A:$A,"&lt;="&amp;$A3)</f>
        <v/>
      </c>
      <c r="D3" s="3">
        <f>SUMIFS(Round_Results!$F:$F,Round_Results!$B:$B,D$1,Round_Results!$A:$A,"&lt;="&amp;$A3)</f>
        <v/>
      </c>
      <c r="E3" s="3">
        <f>SUMIFS(Round_Results!$F:$F,Round_Results!$B:$B,E$1,Round_Results!$A:$A,"&lt;="&amp;$A3)</f>
        <v/>
      </c>
      <c r="F3" s="3">
        <f>SUMIFS(Round_Results!$F:$F,Round_Results!$B:$B,F$1,Round_Results!$A:$A,"&lt;="&amp;$A3)</f>
        <v/>
      </c>
    </row>
    <row r="4">
      <c r="A4" t="n">
        <v>3</v>
      </c>
      <c r="B4" s="3">
        <f>SUMIFS(Round_Results!$F:$F,Round_Results!$B:$B,B$1,Round_Results!$A:$A,"&lt;="&amp;$A4)</f>
        <v/>
      </c>
      <c r="C4" s="3">
        <f>SUMIFS(Round_Results!$F:$F,Round_Results!$B:$B,C$1,Round_Results!$A:$A,"&lt;="&amp;$A4)</f>
        <v/>
      </c>
      <c r="D4" s="3">
        <f>SUMIFS(Round_Results!$F:$F,Round_Results!$B:$B,D$1,Round_Results!$A:$A,"&lt;="&amp;$A4)</f>
        <v/>
      </c>
      <c r="E4" s="3">
        <f>SUMIFS(Round_Results!$F:$F,Round_Results!$B:$B,E$1,Round_Results!$A:$A,"&lt;="&amp;$A4)</f>
        <v/>
      </c>
      <c r="F4" s="3">
        <f>SUMIFS(Round_Results!$F:$F,Round_Results!$B:$B,F$1,Round_Results!$A:$A,"&lt;="&amp;$A4)</f>
        <v/>
      </c>
    </row>
    <row r="5">
      <c r="A5" t="n">
        <v>4</v>
      </c>
      <c r="B5" s="3">
        <f>SUMIFS(Round_Results!$F:$F,Round_Results!$B:$B,B$1,Round_Results!$A:$A,"&lt;="&amp;$A5)</f>
        <v/>
      </c>
      <c r="C5" s="3">
        <f>SUMIFS(Round_Results!$F:$F,Round_Results!$B:$B,C$1,Round_Results!$A:$A,"&lt;="&amp;$A5)</f>
        <v/>
      </c>
      <c r="D5" s="3">
        <f>SUMIFS(Round_Results!$F:$F,Round_Results!$B:$B,D$1,Round_Results!$A:$A,"&lt;="&amp;$A5)</f>
        <v/>
      </c>
      <c r="E5" s="3">
        <f>SUMIFS(Round_Results!$F:$F,Round_Results!$B:$B,E$1,Round_Results!$A:$A,"&lt;="&amp;$A5)</f>
        <v/>
      </c>
      <c r="F5" s="3">
        <f>SUMIFS(Round_Results!$F:$F,Round_Results!$B:$B,F$1,Round_Results!$A:$A,"&lt;="&amp;$A5)</f>
        <v/>
      </c>
    </row>
    <row r="6">
      <c r="A6" t="n">
        <v>5</v>
      </c>
      <c r="B6" s="3">
        <f>SUMIFS(Round_Results!$F:$F,Round_Results!$B:$B,B$1,Round_Results!$A:$A,"&lt;="&amp;$A6)</f>
        <v/>
      </c>
      <c r="C6" s="3">
        <f>SUMIFS(Round_Results!$F:$F,Round_Results!$B:$B,C$1,Round_Results!$A:$A,"&lt;="&amp;$A6)</f>
        <v/>
      </c>
      <c r="D6" s="3">
        <f>SUMIFS(Round_Results!$F:$F,Round_Results!$B:$B,D$1,Round_Results!$A:$A,"&lt;="&amp;$A6)</f>
        <v/>
      </c>
      <c r="E6" s="3">
        <f>SUMIFS(Round_Results!$F:$F,Round_Results!$B:$B,E$1,Round_Results!$A:$A,"&lt;="&amp;$A6)</f>
        <v/>
      </c>
      <c r="F6" s="3">
        <f>SUMIFS(Round_Results!$F:$F,Round_Results!$B:$B,F$1,Round_Results!$A:$A,"&lt;="&amp;$A6)</f>
        <v/>
      </c>
    </row>
    <row r="7">
      <c r="A7" t="n">
        <v>6</v>
      </c>
      <c r="B7" s="3">
        <f>SUMIFS(Round_Results!$F:$F,Round_Results!$B:$B,B$1,Round_Results!$A:$A,"&lt;="&amp;$A7)</f>
        <v/>
      </c>
      <c r="C7" s="3">
        <f>SUMIFS(Round_Results!$F:$F,Round_Results!$B:$B,C$1,Round_Results!$A:$A,"&lt;="&amp;$A7)</f>
        <v/>
      </c>
      <c r="D7" s="3">
        <f>SUMIFS(Round_Results!$F:$F,Round_Results!$B:$B,D$1,Round_Results!$A:$A,"&lt;="&amp;$A7)</f>
        <v/>
      </c>
      <c r="E7" s="3">
        <f>SUMIFS(Round_Results!$F:$F,Round_Results!$B:$B,E$1,Round_Results!$A:$A,"&lt;="&amp;$A7)</f>
        <v/>
      </c>
      <c r="F7" s="3">
        <f>SUMIFS(Round_Results!$F:$F,Round_Results!$B:$B,F$1,Round_Results!$A:$A,"&lt;="&amp;$A7)</f>
        <v/>
      </c>
    </row>
    <row r="8">
      <c r="A8" t="n">
        <v>7</v>
      </c>
      <c r="B8" s="3">
        <f>SUMIFS(Round_Results!$F:$F,Round_Results!$B:$B,B$1,Round_Results!$A:$A,"&lt;="&amp;$A8)</f>
        <v/>
      </c>
      <c r="C8" s="3">
        <f>SUMIFS(Round_Results!$F:$F,Round_Results!$B:$B,C$1,Round_Results!$A:$A,"&lt;="&amp;$A8)</f>
        <v/>
      </c>
      <c r="D8" s="3">
        <f>SUMIFS(Round_Results!$F:$F,Round_Results!$B:$B,D$1,Round_Results!$A:$A,"&lt;="&amp;$A8)</f>
        <v/>
      </c>
      <c r="E8" s="3">
        <f>SUMIFS(Round_Results!$F:$F,Round_Results!$B:$B,E$1,Round_Results!$A:$A,"&lt;="&amp;$A8)</f>
        <v/>
      </c>
      <c r="F8" s="3">
        <f>SUMIFS(Round_Results!$F:$F,Round_Results!$B:$B,F$1,Round_Results!$A:$A,"&lt;="&amp;$A8)</f>
        <v/>
      </c>
    </row>
    <row r="9">
      <c r="A9" t="n">
        <v>8</v>
      </c>
      <c r="B9" s="3">
        <f>SUMIFS(Round_Results!$F:$F,Round_Results!$B:$B,B$1,Round_Results!$A:$A,"&lt;="&amp;$A9)</f>
        <v/>
      </c>
      <c r="C9" s="3">
        <f>SUMIFS(Round_Results!$F:$F,Round_Results!$B:$B,C$1,Round_Results!$A:$A,"&lt;="&amp;$A9)</f>
        <v/>
      </c>
      <c r="D9" s="3">
        <f>SUMIFS(Round_Results!$F:$F,Round_Results!$B:$B,D$1,Round_Results!$A:$A,"&lt;="&amp;$A9)</f>
        <v/>
      </c>
      <c r="E9" s="3">
        <f>SUMIFS(Round_Results!$F:$F,Round_Results!$B:$B,E$1,Round_Results!$A:$A,"&lt;="&amp;$A9)</f>
        <v/>
      </c>
      <c r="F9" s="3">
        <f>SUMIFS(Round_Results!$F:$F,Round_Results!$B:$B,F$1,Round_Results!$A:$A,"&lt;="&amp;$A9)</f>
        <v/>
      </c>
    </row>
    <row r="10">
      <c r="A10" t="n">
        <v>9</v>
      </c>
      <c r="B10" s="3">
        <f>SUMIFS(Round_Results!$F:$F,Round_Results!$B:$B,B$1,Round_Results!$A:$A,"&lt;="&amp;$A10)</f>
        <v/>
      </c>
      <c r="C10" s="3">
        <f>SUMIFS(Round_Results!$F:$F,Round_Results!$B:$B,C$1,Round_Results!$A:$A,"&lt;="&amp;$A10)</f>
        <v/>
      </c>
      <c r="D10" s="3">
        <f>SUMIFS(Round_Results!$F:$F,Round_Results!$B:$B,D$1,Round_Results!$A:$A,"&lt;="&amp;$A10)</f>
        <v/>
      </c>
      <c r="E10" s="3">
        <f>SUMIFS(Round_Results!$F:$F,Round_Results!$B:$B,E$1,Round_Results!$A:$A,"&lt;="&amp;$A10)</f>
        <v/>
      </c>
      <c r="F10" s="3">
        <f>SUMIFS(Round_Results!$F:$F,Round_Results!$B:$B,F$1,Round_Results!$A:$A,"&lt;="&amp;$A10)</f>
        <v/>
      </c>
    </row>
    <row r="11">
      <c r="A11" t="n">
        <v>10</v>
      </c>
      <c r="B11" s="3">
        <f>SUMIFS(Round_Results!$F:$F,Round_Results!$B:$B,B$1,Round_Results!$A:$A,"&lt;="&amp;$A11)</f>
        <v/>
      </c>
      <c r="C11" s="3">
        <f>SUMIFS(Round_Results!$F:$F,Round_Results!$B:$B,C$1,Round_Results!$A:$A,"&lt;="&amp;$A11)</f>
        <v/>
      </c>
      <c r="D11" s="3">
        <f>SUMIFS(Round_Results!$F:$F,Round_Results!$B:$B,D$1,Round_Results!$A:$A,"&lt;="&amp;$A11)</f>
        <v/>
      </c>
      <c r="E11" s="3">
        <f>SUMIFS(Round_Results!$F:$F,Round_Results!$B:$B,E$1,Round_Results!$A:$A,"&lt;="&amp;$A11)</f>
        <v/>
      </c>
      <c r="F11" s="3">
        <f>SUMIFS(Round_Results!$F:$F,Round_Results!$B:$B,F$1,Round_Results!$A:$A,"&lt;="&amp;$A11)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2" t="inlineStr">
        <is>
          <t>method</t>
        </is>
      </c>
      <c r="B1" s="2" t="inlineStr">
        <is>
          <t>P1_cells_total</t>
        </is>
      </c>
      <c r="C1" s="2" t="inlineStr">
        <is>
          <t>P2_cells_total</t>
        </is>
      </c>
      <c r="D1" s="2" t="inlineStr">
        <is>
          <t>P3_cells_total</t>
        </is>
      </c>
      <c r="E1" s="2" t="inlineStr">
        <is>
          <t>P0_cells_total</t>
        </is>
      </c>
    </row>
    <row r="2">
      <c r="A2" t="inlineStr">
        <is>
          <t>RRP_KMEANS</t>
        </is>
      </c>
      <c r="B2" s="3">
        <f>SUMIFS(Round_Results!$U:$U,Round_Results!$B:$B,$A2)</f>
        <v/>
      </c>
      <c r="C2" s="3">
        <f>SUMIFS(Round_Results!$V:$V,Round_Results!$B:$B,$A2)</f>
        <v/>
      </c>
      <c r="D2" s="3">
        <f>SUMIFS(Round_Results!$W:$W,Round_Results!$B:$B,$A2)</f>
        <v/>
      </c>
      <c r="E2" s="3">
        <f>SUMIFS(Round_Results!$X:$X,Round_Results!$B:$B,$A2)</f>
        <v/>
      </c>
    </row>
    <row r="3">
      <c r="A3" t="inlineStr">
        <is>
          <t>RRP_KMEANS_VNS</t>
        </is>
      </c>
      <c r="B3" s="3">
        <f>SUMIFS(Round_Results!$U:$U,Round_Results!$B:$B,$A3)</f>
        <v/>
      </c>
      <c r="C3" s="3">
        <f>SUMIFS(Round_Results!$V:$V,Round_Results!$B:$B,$A3)</f>
        <v/>
      </c>
      <c r="D3" s="3">
        <f>SUMIFS(Round_Results!$W:$W,Round_Results!$B:$B,$A3)</f>
        <v/>
      </c>
      <c r="E3" s="3">
        <f>SUMIFS(Round_Results!$X:$X,Round_Results!$B:$B,$A3)</f>
        <v/>
      </c>
    </row>
    <row r="4">
      <c r="A4" t="inlineStr">
        <is>
          <t>RRP_MS_KMEANS_VNS</t>
        </is>
      </c>
      <c r="B4" s="3">
        <f>SUMIFS(Round_Results!$U:$U,Round_Results!$B:$B,$A4)</f>
        <v/>
      </c>
      <c r="C4" s="3">
        <f>SUMIFS(Round_Results!$V:$V,Round_Results!$B:$B,$A4)</f>
        <v/>
      </c>
      <c r="D4" s="3">
        <f>SUMIFS(Round_Results!$W:$W,Round_Results!$B:$B,$A4)</f>
        <v/>
      </c>
      <c r="E4" s="3">
        <f>SUMIFS(Round_Results!$X:$X,Round_Results!$B:$B,$A4)</f>
        <v/>
      </c>
    </row>
    <row r="5">
      <c r="A5" t="inlineStr">
        <is>
          <t>RRP_GA</t>
        </is>
      </c>
      <c r="B5" s="3">
        <f>SUMIFS(Round_Results!$U:$U,Round_Results!$B:$B,$A5)</f>
        <v/>
      </c>
      <c r="C5" s="3">
        <f>SUMIFS(Round_Results!$V:$V,Round_Results!$B:$B,$A5)</f>
        <v/>
      </c>
      <c r="D5" s="3">
        <f>SUMIFS(Round_Results!$W:$W,Round_Results!$B:$B,$A5)</f>
        <v/>
      </c>
      <c r="E5" s="3">
        <f>SUMIFS(Round_Results!$X:$X,Round_Results!$B:$B,$A5)</f>
        <v/>
      </c>
    </row>
    <row r="6">
      <c r="A6" t="inlineStr">
        <is>
          <t>RRP_SA</t>
        </is>
      </c>
      <c r="B6" s="3">
        <f>SUMIFS(Round_Results!$U:$U,Round_Results!$B:$B,$A6)</f>
        <v/>
      </c>
      <c r="C6" s="3">
        <f>SUMIFS(Round_Results!$V:$V,Round_Results!$B:$B,$A6)</f>
        <v/>
      </c>
      <c r="D6" s="3">
        <f>SUMIFS(Round_Results!$W:$W,Round_Results!$B:$B,$A6)</f>
        <v/>
      </c>
      <c r="E6" s="3">
        <f>SUMIFS(Round_Results!$X:$X,Round_Results!$B:$B,$A6)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  <col width="24" customWidth="1" min="6" max="6"/>
  </cols>
  <sheetData>
    <row r="1">
      <c r="A1" s="2" t="inlineStr">
        <is>
          <t>round</t>
        </is>
      </c>
      <c r="B1" s="2" t="inlineStr">
        <is>
          <t>RRP_KMEANS</t>
        </is>
      </c>
      <c r="C1" s="2" t="inlineStr">
        <is>
          <t>RRP_KMEANS_VNS</t>
        </is>
      </c>
      <c r="D1" s="2" t="inlineStr">
        <is>
          <t>RRP_MS_KMEANS_VNS</t>
        </is>
      </c>
      <c r="E1" s="2" t="inlineStr">
        <is>
          <t>RRP_GA</t>
        </is>
      </c>
      <c r="F1" s="2" t="inlineStr">
        <is>
          <t>RRP_SA</t>
        </is>
      </c>
    </row>
    <row r="2">
      <c r="A2" t="n">
        <v>1</v>
      </c>
      <c r="B2" s="3">
        <f>SUMIFS(Round_Results!$H:$H,Round_Results!$B:$B,B$1,Round_Results!$A:$A,$A2)</f>
        <v/>
      </c>
      <c r="C2" s="3">
        <f>SUMIFS(Round_Results!$H:$H,Round_Results!$B:$B,C$1,Round_Results!$A:$A,$A2)</f>
        <v/>
      </c>
      <c r="D2" s="3">
        <f>SUMIFS(Round_Results!$H:$H,Round_Results!$B:$B,D$1,Round_Results!$A:$A,$A2)</f>
        <v/>
      </c>
      <c r="E2" s="3">
        <f>SUMIFS(Round_Results!$H:$H,Round_Results!$B:$B,E$1,Round_Results!$A:$A,$A2)</f>
        <v/>
      </c>
      <c r="F2" s="3">
        <f>SUMIFS(Round_Results!$H:$H,Round_Results!$B:$B,F$1,Round_Results!$A:$A,$A2)</f>
        <v/>
      </c>
    </row>
    <row r="3">
      <c r="A3" t="n">
        <v>2</v>
      </c>
      <c r="B3" s="3">
        <f>SUMIFS(Round_Results!$H:$H,Round_Results!$B:$B,B$1,Round_Results!$A:$A,$A3)</f>
        <v/>
      </c>
      <c r="C3" s="3">
        <f>SUMIFS(Round_Results!$H:$H,Round_Results!$B:$B,C$1,Round_Results!$A:$A,$A3)</f>
        <v/>
      </c>
      <c r="D3" s="3">
        <f>SUMIFS(Round_Results!$H:$H,Round_Results!$B:$B,D$1,Round_Results!$A:$A,$A3)</f>
        <v/>
      </c>
      <c r="E3" s="3">
        <f>SUMIFS(Round_Results!$H:$H,Round_Results!$B:$B,E$1,Round_Results!$A:$A,$A3)</f>
        <v/>
      </c>
      <c r="F3" s="3">
        <f>SUMIFS(Round_Results!$H:$H,Round_Results!$B:$B,F$1,Round_Results!$A:$A,$A3)</f>
        <v/>
      </c>
    </row>
    <row r="4">
      <c r="A4" t="n">
        <v>3</v>
      </c>
      <c r="B4" s="3">
        <f>SUMIFS(Round_Results!$H:$H,Round_Results!$B:$B,B$1,Round_Results!$A:$A,$A4)</f>
        <v/>
      </c>
      <c r="C4" s="3">
        <f>SUMIFS(Round_Results!$H:$H,Round_Results!$B:$B,C$1,Round_Results!$A:$A,$A4)</f>
        <v/>
      </c>
      <c r="D4" s="3">
        <f>SUMIFS(Round_Results!$H:$H,Round_Results!$B:$B,D$1,Round_Results!$A:$A,$A4)</f>
        <v/>
      </c>
      <c r="E4" s="3">
        <f>SUMIFS(Round_Results!$H:$H,Round_Results!$B:$B,E$1,Round_Results!$A:$A,$A4)</f>
        <v/>
      </c>
      <c r="F4" s="3">
        <f>SUMIFS(Round_Results!$H:$H,Round_Results!$B:$B,F$1,Round_Results!$A:$A,$A4)</f>
        <v/>
      </c>
    </row>
    <row r="5">
      <c r="A5" t="n">
        <v>4</v>
      </c>
      <c r="B5" s="3">
        <f>SUMIFS(Round_Results!$H:$H,Round_Results!$B:$B,B$1,Round_Results!$A:$A,$A5)</f>
        <v/>
      </c>
      <c r="C5" s="3">
        <f>SUMIFS(Round_Results!$H:$H,Round_Results!$B:$B,C$1,Round_Results!$A:$A,$A5)</f>
        <v/>
      </c>
      <c r="D5" s="3">
        <f>SUMIFS(Round_Results!$H:$H,Round_Results!$B:$B,D$1,Round_Results!$A:$A,$A5)</f>
        <v/>
      </c>
      <c r="E5" s="3">
        <f>SUMIFS(Round_Results!$H:$H,Round_Results!$B:$B,E$1,Round_Results!$A:$A,$A5)</f>
        <v/>
      </c>
      <c r="F5" s="3">
        <f>SUMIFS(Round_Results!$H:$H,Round_Results!$B:$B,F$1,Round_Results!$A:$A,$A5)</f>
        <v/>
      </c>
    </row>
    <row r="6">
      <c r="A6" t="n">
        <v>5</v>
      </c>
      <c r="B6" s="3">
        <f>SUMIFS(Round_Results!$H:$H,Round_Results!$B:$B,B$1,Round_Results!$A:$A,$A6)</f>
        <v/>
      </c>
      <c r="C6" s="3">
        <f>SUMIFS(Round_Results!$H:$H,Round_Results!$B:$B,C$1,Round_Results!$A:$A,$A6)</f>
        <v/>
      </c>
      <c r="D6" s="3">
        <f>SUMIFS(Round_Results!$H:$H,Round_Results!$B:$B,D$1,Round_Results!$A:$A,$A6)</f>
        <v/>
      </c>
      <c r="E6" s="3">
        <f>SUMIFS(Round_Results!$H:$H,Round_Results!$B:$B,E$1,Round_Results!$A:$A,$A6)</f>
        <v/>
      </c>
      <c r="F6" s="3">
        <f>SUMIFS(Round_Results!$H:$H,Round_Results!$B:$B,F$1,Round_Results!$A:$A,$A6)</f>
        <v/>
      </c>
    </row>
    <row r="7">
      <c r="A7" t="n">
        <v>6</v>
      </c>
      <c r="B7" s="3">
        <f>SUMIFS(Round_Results!$H:$H,Round_Results!$B:$B,B$1,Round_Results!$A:$A,$A7)</f>
        <v/>
      </c>
      <c r="C7" s="3">
        <f>SUMIFS(Round_Results!$H:$H,Round_Results!$B:$B,C$1,Round_Results!$A:$A,$A7)</f>
        <v/>
      </c>
      <c r="D7" s="3">
        <f>SUMIFS(Round_Results!$H:$H,Round_Results!$B:$B,D$1,Round_Results!$A:$A,$A7)</f>
        <v/>
      </c>
      <c r="E7" s="3">
        <f>SUMIFS(Round_Results!$H:$H,Round_Results!$B:$B,E$1,Round_Results!$A:$A,$A7)</f>
        <v/>
      </c>
      <c r="F7" s="3">
        <f>SUMIFS(Round_Results!$H:$H,Round_Results!$B:$B,F$1,Round_Results!$A:$A,$A7)</f>
        <v/>
      </c>
    </row>
    <row r="8">
      <c r="A8" t="n">
        <v>7</v>
      </c>
      <c r="B8" s="3">
        <f>SUMIFS(Round_Results!$H:$H,Round_Results!$B:$B,B$1,Round_Results!$A:$A,$A8)</f>
        <v/>
      </c>
      <c r="C8" s="3">
        <f>SUMIFS(Round_Results!$H:$H,Round_Results!$B:$B,C$1,Round_Results!$A:$A,$A8)</f>
        <v/>
      </c>
      <c r="D8" s="3">
        <f>SUMIFS(Round_Results!$H:$H,Round_Results!$B:$B,D$1,Round_Results!$A:$A,$A8)</f>
        <v/>
      </c>
      <c r="E8" s="3">
        <f>SUMIFS(Round_Results!$H:$H,Round_Results!$B:$B,E$1,Round_Results!$A:$A,$A8)</f>
        <v/>
      </c>
      <c r="F8" s="3">
        <f>SUMIFS(Round_Results!$H:$H,Round_Results!$B:$B,F$1,Round_Results!$A:$A,$A8)</f>
        <v/>
      </c>
    </row>
    <row r="9">
      <c r="A9" t="n">
        <v>8</v>
      </c>
      <c r="B9" s="3">
        <f>SUMIFS(Round_Results!$H:$H,Round_Results!$B:$B,B$1,Round_Results!$A:$A,$A9)</f>
        <v/>
      </c>
      <c r="C9" s="3">
        <f>SUMIFS(Round_Results!$H:$H,Round_Results!$B:$B,C$1,Round_Results!$A:$A,$A9)</f>
        <v/>
      </c>
      <c r="D9" s="3">
        <f>SUMIFS(Round_Results!$H:$H,Round_Results!$B:$B,D$1,Round_Results!$A:$A,$A9)</f>
        <v/>
      </c>
      <c r="E9" s="3">
        <f>SUMIFS(Round_Results!$H:$H,Round_Results!$B:$B,E$1,Round_Results!$A:$A,$A9)</f>
        <v/>
      </c>
      <c r="F9" s="3">
        <f>SUMIFS(Round_Results!$H:$H,Round_Results!$B:$B,F$1,Round_Results!$A:$A,$A9)</f>
        <v/>
      </c>
    </row>
    <row r="10">
      <c r="A10" t="n">
        <v>9</v>
      </c>
      <c r="B10" s="3">
        <f>SUMIFS(Round_Results!$H:$H,Round_Results!$B:$B,B$1,Round_Results!$A:$A,$A10)</f>
        <v/>
      </c>
      <c r="C10" s="3">
        <f>SUMIFS(Round_Results!$H:$H,Round_Results!$B:$B,C$1,Round_Results!$A:$A,$A10)</f>
        <v/>
      </c>
      <c r="D10" s="3">
        <f>SUMIFS(Round_Results!$H:$H,Round_Results!$B:$B,D$1,Round_Results!$A:$A,$A10)</f>
        <v/>
      </c>
      <c r="E10" s="3">
        <f>SUMIFS(Round_Results!$H:$H,Round_Results!$B:$B,E$1,Round_Results!$A:$A,$A10)</f>
        <v/>
      </c>
      <c r="F10" s="3">
        <f>SUMIFS(Round_Results!$H:$H,Round_Results!$B:$B,F$1,Round_Results!$A:$A,$A10)</f>
        <v/>
      </c>
    </row>
    <row r="11">
      <c r="A11" t="n">
        <v>10</v>
      </c>
      <c r="B11" s="3">
        <f>SUMIFS(Round_Results!$H:$H,Round_Results!$B:$B,B$1,Round_Results!$A:$A,$A11)</f>
        <v/>
      </c>
      <c r="C11" s="3">
        <f>SUMIFS(Round_Results!$H:$H,Round_Results!$B:$B,C$1,Round_Results!$A:$A,$A11)</f>
        <v/>
      </c>
      <c r="D11" s="3">
        <f>SUMIFS(Round_Results!$H:$H,Round_Results!$B:$B,D$1,Round_Results!$A:$A,$A11)</f>
        <v/>
      </c>
      <c r="E11" s="3">
        <f>SUMIFS(Round_Results!$H:$H,Round_Results!$B:$B,E$1,Round_Results!$A:$A,$A11)</f>
        <v/>
      </c>
      <c r="F11" s="3">
        <f>SUMIFS(Round_Results!$H:$H,Round_Results!$B:$B,F$1,Round_Results!$A:$A,$A11)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2026-05-20T07:13:23Z</dcterms:created>
  <dcterms:modified xsi:type="dcterms:W3CDTF">2026-05-20T07:13:23Z</dcterms:modified>
</cp:coreProperties>
</file>