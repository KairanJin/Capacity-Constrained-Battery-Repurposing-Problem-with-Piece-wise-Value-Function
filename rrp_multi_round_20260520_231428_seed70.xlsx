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und_Results" sheetId="2" state="visible" r:id="rId2"/>
    <sheet name="Method_Summary" sheetId="3" state="visible" r:id="rId3"/>
    <sheet name="ChartData_CumReward" sheetId="4" state="visible" r:id="rId4"/>
    <sheet name="ChartData_TierCells" sheetId="5" state="visible" r:id="rId5"/>
    <sheet name="ChartData_Runtime" sheetId="6" state="visible" r:id="rId6"/>
    <sheet name="Cha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五种算法每轮累计收益对比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'ChartData_CumReward'!B1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'ChartData_CumReward'!$B$2:$B$21</f>
            </numRef>
          </val>
        </ser>
        <ser>
          <idx val="1"/>
          <order val="1"/>
          <tx>
            <strRef>
              <f>'ChartData_CumReward'!C1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'ChartData_CumReward'!$C$2:$C$21</f>
            </numRef>
          </val>
        </ser>
        <ser>
          <idx val="2"/>
          <order val="2"/>
          <tx>
            <strRef>
              <f>'ChartData_CumReward'!D1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'ChartData_CumReward'!$D$2:$D$21</f>
            </numRef>
          </val>
        </ser>
        <ser>
          <idx val="3"/>
          <order val="3"/>
          <tx>
            <strRef>
              <f>'ChartData_CumReward'!E1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'ChartData_CumReward'!$E$2:$E$21</f>
            </numRef>
          </val>
        </ser>
        <ser>
          <idx val="4"/>
          <order val="4"/>
          <tx>
            <strRef>
              <f>'ChartData_CumReward'!F1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'ChartData_CumReward'!$A$2:$A$21</f>
            </numRef>
          </cat>
          <val>
            <numRef>
              <f>'ChartData_CumReward'!$F$2:$F$21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五种算法在20轮中的各类电芯重组总数量对比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'ChartData_TierCells'!B1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'ChartData_TierCells'!$B$2:$B$6</f>
            </numRef>
          </val>
        </ser>
        <ser>
          <idx val="1"/>
          <order val="1"/>
          <tx>
            <strRef>
              <f>'ChartData_TierCells'!C1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'ChartData_TierCells'!$C$2:$C$6</f>
            </numRef>
          </val>
        </ser>
        <ser>
          <idx val="2"/>
          <order val="2"/>
          <tx>
            <strRef>
              <f>'ChartData_TierCells'!D1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'ChartData_TierCells'!$D$2:$D$6</f>
            </numRef>
          </val>
        </ser>
        <ser>
          <idx val="3"/>
          <order val="3"/>
          <tx>
            <strRef>
              <f>'ChartData_TierCells'!E1</f>
            </strRef>
          </tx>
          <spPr>
            <a:ln>
              <a:prstDash val="solid"/>
            </a:ln>
          </spPr>
          <cat>
            <numRef>
              <f>'ChartData_TierCells'!$A$2:$A$6</f>
            </numRef>
          </cat>
          <val>
            <numRef>
              <f>'ChartData_TierCells'!$E$2:$E$6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总重组电芯数量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算法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五种算法每轮运行时间对比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'ChartData_Runtime'!B1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'ChartData_Runtime'!$B$2:$B$21</f>
            </numRef>
          </val>
        </ser>
        <ser>
          <idx val="1"/>
          <order val="1"/>
          <tx>
            <strRef>
              <f>'ChartData_Runtime'!C1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'ChartData_Runtime'!$C$2:$C$21</f>
            </numRef>
          </val>
        </ser>
        <ser>
          <idx val="2"/>
          <order val="2"/>
          <tx>
            <strRef>
              <f>'ChartData_Runtime'!D1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'ChartData_Runtime'!$D$2:$D$21</f>
            </numRef>
          </val>
        </ser>
        <ser>
          <idx val="3"/>
          <order val="3"/>
          <tx>
            <strRef>
              <f>'ChartData_Runtime'!E1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'ChartData_Runtime'!$E$2:$E$21</f>
            </numRef>
          </val>
        </ser>
        <ser>
          <idx val="4"/>
          <order val="4"/>
          <tx>
            <strRef>
              <f>'ChartData_Runtime'!F1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'ChartData_Runtime'!$A$2:$A$21</f>
            </numRef>
          </cat>
          <val>
            <numRef>
              <f>'ChartData_Runtime'!$F$2:$F$21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轮次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运行时间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0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</cols>
  <sheetData>
    <row r="1">
      <c r="A1" s="1" t="inlineStr">
        <is>
          <t>20轮重组实验 Excel 模板</t>
        </is>
      </c>
    </row>
    <row r="3">
      <c r="A3" t="inlineStr">
        <is>
          <t>说明：</t>
        </is>
      </c>
    </row>
    <row r="4">
      <c r="A4" t="inlineStr">
        <is>
          <t>1. Round_Results 为逐轮明细表，后续可直接按相同列顺序粘贴数据。</t>
        </is>
      </c>
    </row>
    <row r="5">
      <c r="A5" t="inlineStr">
        <is>
          <t>2. ChartData_CumReward：五种算法每轮累计收益绘图数据。</t>
        </is>
      </c>
    </row>
    <row r="6">
      <c r="A6" t="inlineStr">
        <is>
          <t>3. ChartData_TierCells：五种算法20轮中各类电芯重组总数量绘图数据。</t>
        </is>
      </c>
    </row>
    <row r="7">
      <c r="A7" t="inlineStr">
        <is>
          <t>4. ChartData_Runtime：五种算法每轮运行时间绘图数据。</t>
        </is>
      </c>
    </row>
    <row r="8">
      <c r="A8" t="inlineStr">
        <is>
          <t>5. Charts 工作表内已预置三张图。</t>
        </is>
      </c>
    </row>
    <row r="10">
      <c r="A10" t="inlineStr">
        <is>
          <t>方法列表：</t>
        </is>
      </c>
    </row>
    <row r="11">
      <c r="A11" t="inlineStr">
        <is>
          <t>RRP_KMEANS</t>
        </is>
      </c>
      <c r="B11" t="inlineStr">
        <is>
          <t>KMeans</t>
        </is>
      </c>
    </row>
    <row r="12">
      <c r="A12" t="inlineStr">
        <is>
          <t>RRP_KMEANS_VNS</t>
        </is>
      </c>
      <c r="B12" t="inlineStr">
        <is>
          <t>KMeans_VNS</t>
        </is>
      </c>
    </row>
    <row r="13">
      <c r="A13" t="inlineStr">
        <is>
          <t>RRP_MS_KMEANS_VNS</t>
        </is>
      </c>
      <c r="B13" t="inlineStr">
        <is>
          <t>MS_KMeans_VNS</t>
        </is>
      </c>
    </row>
    <row r="14">
      <c r="A14" t="inlineStr">
        <is>
          <t>RRP_GA</t>
        </is>
      </c>
      <c r="B14" t="inlineStr">
        <is>
          <t>GA</t>
        </is>
      </c>
    </row>
    <row r="15">
      <c r="A15" t="inlineStr">
        <is>
          <t>RRP_SA</t>
        </is>
      </c>
      <c r="B15" t="inlineStr">
        <is>
          <t>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0" customWidth="1" min="3" max="3"/>
    <col width="12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8" customWidth="1" min="25" max="25"/>
    <col width="12" customWidth="1" min="26" max="26"/>
    <col width="12" customWidth="1" min="27" max="27"/>
    <col width="18" customWidth="1" min="28" max="28"/>
  </cols>
  <sheetData>
    <row r="1">
      <c r="A1" s="2" t="inlineStr">
        <is>
          <t>round</t>
        </is>
      </c>
      <c r="B1" s="2" t="inlineStr">
        <is>
          <t>method</t>
        </is>
      </c>
      <c r="C1" s="2" t="inlineStr">
        <is>
          <t>method_label</t>
        </is>
      </c>
      <c r="D1" s="2" t="inlineStr">
        <is>
          <t>new_cells</t>
        </is>
      </c>
      <c r="E1" s="2" t="inlineStr">
        <is>
          <t>pool_before</t>
        </is>
      </c>
      <c r="F1" s="2" t="inlineStr">
        <is>
          <t>reward</t>
        </is>
      </c>
      <c r="G1" s="2" t="inlineStr">
        <is>
          <t>cumulative_reward</t>
        </is>
      </c>
      <c r="H1" s="2" t="inlineStr">
        <is>
          <t>runtime</t>
        </is>
      </c>
      <c r="I1" s="2" t="inlineStr">
        <is>
          <t>n_packs</t>
        </is>
      </c>
      <c r="J1" s="2" t="inlineStr">
        <is>
          <t>used_cells</t>
        </is>
      </c>
      <c r="K1" s="2" t="inlineStr">
        <is>
          <t>leftover_cells</t>
        </is>
      </c>
      <c r="L1" s="2" t="inlineStr">
        <is>
          <t>utilization_rate</t>
        </is>
      </c>
      <c r="M1" s="2" t="inlineStr">
        <is>
          <t>avg_delta</t>
        </is>
      </c>
      <c r="N1" s="2" t="inlineStr">
        <is>
          <t>avg_phi</t>
        </is>
      </c>
      <c r="O1" s="2" t="inlineStr">
        <is>
          <t>reward_per_pack</t>
        </is>
      </c>
      <c r="P1" s="2" t="inlineStr">
        <is>
          <t>positive_pack_ratio</t>
        </is>
      </c>
      <c r="Q1" s="2" t="inlineStr">
        <is>
          <t>P1_packs</t>
        </is>
      </c>
      <c r="R1" s="2" t="inlineStr">
        <is>
          <t>P2_packs</t>
        </is>
      </c>
      <c r="S1" s="2" t="inlineStr">
        <is>
          <t>P3_packs</t>
        </is>
      </c>
      <c r="T1" s="2" t="inlineStr">
        <is>
          <t>P0_packs</t>
        </is>
      </c>
      <c r="U1" s="2" t="inlineStr">
        <is>
          <t>P1_cells</t>
        </is>
      </c>
      <c r="V1" s="2" t="inlineStr">
        <is>
          <t>P2_cells</t>
        </is>
      </c>
      <c r="W1" s="2" t="inlineStr">
        <is>
          <t>P3_cells</t>
        </is>
      </c>
      <c r="X1" s="2" t="inlineStr">
        <is>
          <t>P0_cells</t>
        </is>
      </c>
      <c r="Y1" s="2" t="inlineStr">
        <is>
          <t>tier_distribution</t>
        </is>
      </c>
      <c r="Z1" s="2" t="inlineStr">
        <is>
          <t>n_columns</t>
        </is>
      </c>
      <c r="AA1" s="2" t="inlineStr">
        <is>
          <t>gurobi_gap</t>
        </is>
      </c>
      <c r="AB1" s="2" t="inlineStr">
        <is>
          <t>n_feasible_groups</t>
        </is>
      </c>
    </row>
    <row r="2">
      <c r="A2" t="n">
        <v>1</v>
      </c>
      <c r="B2" t="inlineStr">
        <is>
          <t>RRP_KMEANS</t>
        </is>
      </c>
      <c r="C2" t="inlineStr">
        <is>
          <t>KMeans</t>
        </is>
      </c>
      <c r="D2" t="n">
        <v>1000</v>
      </c>
      <c r="E2" t="n">
        <v>1000</v>
      </c>
      <c r="F2" s="3" t="n">
        <v>569.6822427162808</v>
      </c>
      <c r="G2" s="3" t="n">
        <v>569.6822427162808</v>
      </c>
      <c r="H2" s="3" t="n">
        <v>0.2107243000064045</v>
      </c>
      <c r="I2" t="n">
        <v>125</v>
      </c>
      <c r="J2" t="n">
        <v>1000</v>
      </c>
      <c r="K2" t="n">
        <v>0</v>
      </c>
      <c r="L2" s="4" t="n">
        <v>1</v>
      </c>
      <c r="M2" s="3" t="n">
        <v>0.05084116539504998</v>
      </c>
      <c r="N2" s="3" t="n">
        <v>-0.01966938237852114</v>
      </c>
      <c r="O2" s="3" t="n">
        <v>4.557457941730247</v>
      </c>
      <c r="P2" s="4" t="n">
        <v>0.752</v>
      </c>
      <c r="Q2" t="n">
        <v>27</v>
      </c>
      <c r="R2" t="n">
        <v>33</v>
      </c>
      <c r="S2" t="n">
        <v>34</v>
      </c>
      <c r="T2" t="n">
        <v>31</v>
      </c>
      <c r="U2" t="n">
        <v>216</v>
      </c>
      <c r="V2" t="n">
        <v>264</v>
      </c>
      <c r="W2" t="n">
        <v>272</v>
      </c>
      <c r="X2" t="n">
        <v>248</v>
      </c>
      <c r="Y2" t="inlineStr">
        <is>
          <t>P1:27, P2:33, P3:34, P0:31</t>
        </is>
      </c>
      <c r="Z2" t="n">
        <v/>
      </c>
      <c r="AA2" t="n">
        <v/>
      </c>
      <c r="AB2" t="n">
        <v/>
      </c>
    </row>
    <row r="3">
      <c r="A3" t="n">
        <v>1</v>
      </c>
      <c r="B3" t="inlineStr">
        <is>
          <t>RRP_KMEANS_VNS</t>
        </is>
      </c>
      <c r="C3" t="inlineStr">
        <is>
          <t>KMeans_VNS</t>
        </is>
      </c>
      <c r="D3" t="n">
        <v>1000</v>
      </c>
      <c r="E3" t="n">
        <v>1000</v>
      </c>
      <c r="F3" s="3" t="n">
        <v>616.5715190462175</v>
      </c>
      <c r="G3" s="3" t="n">
        <v>616.5715190462175</v>
      </c>
      <c r="H3" s="3" t="n">
        <v>10.69301829999313</v>
      </c>
      <c r="I3" t="n">
        <v>124</v>
      </c>
      <c r="J3" t="n">
        <v>992</v>
      </c>
      <c r="K3" t="n">
        <v>8</v>
      </c>
      <c r="L3" s="4" t="n">
        <v>0.992</v>
      </c>
      <c r="M3" s="3" t="n">
        <v>0.06910983125523487</v>
      </c>
      <c r="N3" s="3" t="n">
        <v>-0.01857578035679524</v>
      </c>
      <c r="O3" s="3" t="n">
        <v>4.972350960050141</v>
      </c>
      <c r="P3" s="4" t="n">
        <v>0.8145161290322581</v>
      </c>
      <c r="Q3" t="n">
        <v>29</v>
      </c>
      <c r="R3" t="n">
        <v>37</v>
      </c>
      <c r="S3" t="n">
        <v>35</v>
      </c>
      <c r="T3" t="n">
        <v>23</v>
      </c>
      <c r="U3" t="n">
        <v>232</v>
      </c>
      <c r="V3" t="n">
        <v>296</v>
      </c>
      <c r="W3" t="n">
        <v>280</v>
      </c>
      <c r="X3" t="n">
        <v>184</v>
      </c>
      <c r="Y3" t="inlineStr">
        <is>
          <t>P1:29, P2:37, P3:35, P0:23</t>
        </is>
      </c>
      <c r="Z3" t="n">
        <v/>
      </c>
      <c r="AA3" t="n">
        <v/>
      </c>
      <c r="AB3" t="n">
        <v/>
      </c>
    </row>
    <row r="4">
      <c r="A4" t="n">
        <v>1</v>
      </c>
      <c r="B4" t="inlineStr">
        <is>
          <t>RRP_MS_KMEANS_VNS</t>
        </is>
      </c>
      <c r="C4" t="inlineStr">
        <is>
          <t>MS_KMeans_VNS</t>
        </is>
      </c>
      <c r="D4" t="n">
        <v>1000</v>
      </c>
      <c r="E4" t="n">
        <v>1000</v>
      </c>
      <c r="F4" s="3" t="n">
        <v>591.7007028472719</v>
      </c>
      <c r="G4" s="3" t="n">
        <v>591.7007028472719</v>
      </c>
      <c r="H4" s="3" t="n">
        <v>6.350906599996961</v>
      </c>
      <c r="I4" t="n">
        <v>124</v>
      </c>
      <c r="J4" t="n">
        <v>992</v>
      </c>
      <c r="K4" t="n">
        <v>8</v>
      </c>
      <c r="L4" s="4" t="n">
        <v>0.992</v>
      </c>
      <c r="M4" s="3" t="n">
        <v>0.04827373431097775</v>
      </c>
      <c r="N4" s="3" t="n">
        <v>-0.02950998940942335</v>
      </c>
      <c r="O4" s="3" t="n">
        <v>4.771779861671548</v>
      </c>
      <c r="P4" s="4" t="n">
        <v>0.782258064516129</v>
      </c>
      <c r="Q4" t="n">
        <v>28</v>
      </c>
      <c r="R4" t="n">
        <v>35</v>
      </c>
      <c r="S4" t="n">
        <v>34</v>
      </c>
      <c r="T4" t="n">
        <v>27</v>
      </c>
      <c r="U4" t="n">
        <v>224</v>
      </c>
      <c r="V4" t="n">
        <v>280</v>
      </c>
      <c r="W4" t="n">
        <v>272</v>
      </c>
      <c r="X4" t="n">
        <v>216</v>
      </c>
      <c r="Y4" t="inlineStr">
        <is>
          <t>P1:28, P2:35, P3:34, P0:27</t>
        </is>
      </c>
      <c r="Z4" t="n">
        <v/>
      </c>
      <c r="AA4" t="n">
        <v/>
      </c>
      <c r="AB4" t="n">
        <v/>
      </c>
    </row>
    <row r="5">
      <c r="A5" t="n">
        <v>1</v>
      </c>
      <c r="B5" t="inlineStr">
        <is>
          <t>RRP_GA</t>
        </is>
      </c>
      <c r="C5" t="inlineStr">
        <is>
          <t>GA</t>
        </is>
      </c>
      <c r="D5" t="n">
        <v>1000</v>
      </c>
      <c r="E5" t="n">
        <v>1000</v>
      </c>
      <c r="F5" s="3" t="n">
        <v>597.721500110646</v>
      </c>
      <c r="G5" s="3" t="n">
        <v>597.721500110646</v>
      </c>
      <c r="H5" s="3" t="n">
        <v>5.06736680000904</v>
      </c>
      <c r="I5" t="n">
        <v>124</v>
      </c>
      <c r="J5" t="n">
        <v>992</v>
      </c>
      <c r="K5" t="n">
        <v>8</v>
      </c>
      <c r="L5" s="4" t="n">
        <v>0.992</v>
      </c>
      <c r="M5" s="3" t="n">
        <v>0.04491933699256949</v>
      </c>
      <c r="N5" s="3" t="n">
        <v>-0.01475409680721887</v>
      </c>
      <c r="O5" s="3" t="n">
        <v>4.820334678311662</v>
      </c>
      <c r="P5" s="4" t="n">
        <v>0.782258064516129</v>
      </c>
      <c r="Q5" t="n">
        <v>28</v>
      </c>
      <c r="R5" t="n">
        <v>37</v>
      </c>
      <c r="S5" t="n">
        <v>32</v>
      </c>
      <c r="T5" t="n">
        <v>27</v>
      </c>
      <c r="U5" t="n">
        <v>224</v>
      </c>
      <c r="V5" t="n">
        <v>296</v>
      </c>
      <c r="W5" t="n">
        <v>256</v>
      </c>
      <c r="X5" t="n">
        <v>216</v>
      </c>
      <c r="Y5" t="inlineStr">
        <is>
          <t>P1:28, P2:37, P3:32, P0:27</t>
        </is>
      </c>
      <c r="Z5" t="n">
        <v/>
      </c>
      <c r="AA5" t="n">
        <v/>
      </c>
      <c r="AB5" t="n">
        <v/>
      </c>
    </row>
    <row r="6">
      <c r="A6" t="n">
        <v>1</v>
      </c>
      <c r="B6" t="inlineStr">
        <is>
          <t>RRP_SA</t>
        </is>
      </c>
      <c r="C6" t="inlineStr">
        <is>
          <t>SA</t>
        </is>
      </c>
      <c r="D6" t="n">
        <v>1000</v>
      </c>
      <c r="E6" t="n">
        <v>1000</v>
      </c>
      <c r="F6" s="3" t="n">
        <v>686.1292550706377</v>
      </c>
      <c r="G6" s="3" t="n">
        <v>686.1292550706377</v>
      </c>
      <c r="H6" s="3" t="n">
        <v>3.331977100009681</v>
      </c>
      <c r="I6" t="n">
        <v>125</v>
      </c>
      <c r="J6" t="n">
        <v>1000</v>
      </c>
      <c r="K6" t="n">
        <v>0</v>
      </c>
      <c r="L6" s="4" t="n">
        <v>1</v>
      </c>
      <c r="M6" s="3" t="n">
        <v>0.4593191886979712</v>
      </c>
      <c r="N6" s="3" t="n">
        <v>-0.01966938237852112</v>
      </c>
      <c r="O6" s="3" t="n">
        <v>5.489034040565102</v>
      </c>
      <c r="P6" s="4" t="n">
        <v>0.896</v>
      </c>
      <c r="Q6" t="n">
        <v>32</v>
      </c>
      <c r="R6" t="n">
        <v>43</v>
      </c>
      <c r="S6" t="n">
        <v>37</v>
      </c>
      <c r="T6" t="n">
        <v>13</v>
      </c>
      <c r="U6" t="n">
        <v>256</v>
      </c>
      <c r="V6" t="n">
        <v>344</v>
      </c>
      <c r="W6" t="n">
        <v>296</v>
      </c>
      <c r="X6" t="n">
        <v>104</v>
      </c>
      <c r="Y6" t="inlineStr">
        <is>
          <t>P1:32, P2:43, P3:37, P0:13</t>
        </is>
      </c>
      <c r="Z6" t="n">
        <v/>
      </c>
      <c r="AA6" t="n">
        <v/>
      </c>
      <c r="AB6" t="n">
        <v/>
      </c>
    </row>
    <row r="7">
      <c r="A7" t="n">
        <v>2</v>
      </c>
      <c r="B7" t="inlineStr">
        <is>
          <t>RRP_KMEANS</t>
        </is>
      </c>
      <c r="C7" t="inlineStr">
        <is>
          <t>KMeans</t>
        </is>
      </c>
      <c r="D7" t="n">
        <v>1000</v>
      </c>
      <c r="E7" t="n">
        <v>1000</v>
      </c>
      <c r="F7" s="3" t="n">
        <v>571.6563819767171</v>
      </c>
      <c r="G7" s="3" t="n">
        <v>1141.338624692998</v>
      </c>
      <c r="H7" s="3" t="n">
        <v>0.2789740999869537</v>
      </c>
      <c r="I7" t="n">
        <v>124</v>
      </c>
      <c r="J7" t="n">
        <v>992</v>
      </c>
      <c r="K7" t="n">
        <v>8</v>
      </c>
      <c r="L7" s="4" t="n">
        <v>0.992</v>
      </c>
      <c r="M7" s="3" t="n">
        <v>0.05542226181981709</v>
      </c>
      <c r="N7" s="3" t="n">
        <v>-0.01291729129950046</v>
      </c>
      <c r="O7" s="3" t="n">
        <v>4.61013211271546</v>
      </c>
      <c r="P7" s="4" t="n">
        <v>0.7419354838709677</v>
      </c>
      <c r="Q7" t="n">
        <v>29</v>
      </c>
      <c r="R7" t="n">
        <v>31</v>
      </c>
      <c r="S7" t="n">
        <v>32</v>
      </c>
      <c r="T7" t="n">
        <v>32</v>
      </c>
      <c r="U7" t="n">
        <v>232</v>
      </c>
      <c r="V7" t="n">
        <v>248</v>
      </c>
      <c r="W7" t="n">
        <v>256</v>
      </c>
      <c r="X7" t="n">
        <v>256</v>
      </c>
      <c r="Y7" t="inlineStr">
        <is>
          <t>P1:29, P2:31, P3:32, P0:32</t>
        </is>
      </c>
      <c r="Z7" t="n">
        <v/>
      </c>
      <c r="AA7" t="n">
        <v/>
      </c>
      <c r="AB7" t="n">
        <v/>
      </c>
    </row>
    <row r="8">
      <c r="A8" t="n">
        <v>2</v>
      </c>
      <c r="B8" t="inlineStr">
        <is>
          <t>RRP_KMEANS_VNS</t>
        </is>
      </c>
      <c r="C8" t="inlineStr">
        <is>
          <t>KMeans_VNS</t>
        </is>
      </c>
      <c r="D8" t="n">
        <v>1000</v>
      </c>
      <c r="E8" t="n">
        <v>1008</v>
      </c>
      <c r="F8" s="3" t="n">
        <v>617.5668125705248</v>
      </c>
      <c r="G8" s="3" t="n">
        <v>1234.138331616742</v>
      </c>
      <c r="H8" s="3" t="n">
        <v>8.856515699997544</v>
      </c>
      <c r="I8" t="n">
        <v>124</v>
      </c>
      <c r="J8" t="n">
        <v>992</v>
      </c>
      <c r="K8" t="n">
        <v>16</v>
      </c>
      <c r="L8" s="4" t="n">
        <v>0.9841269841269841</v>
      </c>
      <c r="M8" s="3" t="n">
        <v>0.06986894023792962</v>
      </c>
      <c r="N8" s="3" t="n">
        <v>-0.01312224084877639</v>
      </c>
      <c r="O8" s="3" t="n">
        <v>4.980377520730038</v>
      </c>
      <c r="P8" s="4" t="n">
        <v>0.7983870967741935</v>
      </c>
      <c r="Q8" t="n">
        <v>30</v>
      </c>
      <c r="R8" t="n">
        <v>37</v>
      </c>
      <c r="S8" t="n">
        <v>32</v>
      </c>
      <c r="T8" t="n">
        <v>25</v>
      </c>
      <c r="U8" t="n">
        <v>240</v>
      </c>
      <c r="V8" t="n">
        <v>296</v>
      </c>
      <c r="W8" t="n">
        <v>256</v>
      </c>
      <c r="X8" t="n">
        <v>200</v>
      </c>
      <c r="Y8" t="inlineStr">
        <is>
          <t>P1:30, P2:37, P3:32, P0:25</t>
        </is>
      </c>
      <c r="Z8" t="n">
        <v/>
      </c>
      <c r="AA8" t="n">
        <v/>
      </c>
      <c r="AB8" t="n">
        <v/>
      </c>
    </row>
    <row r="9">
      <c r="A9" t="n">
        <v>2</v>
      </c>
      <c r="B9" t="inlineStr">
        <is>
          <t>RRP_MS_KMEANS_VNS</t>
        </is>
      </c>
      <c r="C9" t="inlineStr">
        <is>
          <t>MS_KMeans_VNS</t>
        </is>
      </c>
      <c r="D9" t="n">
        <v>1000</v>
      </c>
      <c r="E9" t="n">
        <v>1008</v>
      </c>
      <c r="F9" s="3" t="n">
        <v>616.6868497958517</v>
      </c>
      <c r="G9" s="3" t="n">
        <v>1208.387552643124</v>
      </c>
      <c r="H9" s="3" t="n">
        <v>5.485879200001364</v>
      </c>
      <c r="I9" t="n">
        <v>124</v>
      </c>
      <c r="J9" t="n">
        <v>992</v>
      </c>
      <c r="K9" t="n">
        <v>16</v>
      </c>
      <c r="L9" s="4" t="n">
        <v>0.9841269841269841</v>
      </c>
      <c r="M9" s="3" t="n">
        <v>0.05050809744326808</v>
      </c>
      <c r="N9" s="3" t="n">
        <v>-0.005245350802971262</v>
      </c>
      <c r="O9" s="3" t="n">
        <v>4.973281046740739</v>
      </c>
      <c r="P9" s="4" t="n">
        <v>0.7903225806451613</v>
      </c>
      <c r="Q9" t="n">
        <v>32</v>
      </c>
      <c r="R9" t="n">
        <v>33</v>
      </c>
      <c r="S9" t="n">
        <v>33</v>
      </c>
      <c r="T9" t="n">
        <v>26</v>
      </c>
      <c r="U9" t="n">
        <v>256</v>
      </c>
      <c r="V9" t="n">
        <v>264</v>
      </c>
      <c r="W9" t="n">
        <v>264</v>
      </c>
      <c r="X9" t="n">
        <v>208</v>
      </c>
      <c r="Y9" t="inlineStr">
        <is>
          <t>P1:32, P2:33, P3:33, P0:26</t>
        </is>
      </c>
      <c r="Z9" t="n">
        <v/>
      </c>
      <c r="AA9" t="n">
        <v/>
      </c>
      <c r="AB9" t="n">
        <v/>
      </c>
    </row>
    <row r="10">
      <c r="A10" t="n">
        <v>2</v>
      </c>
      <c r="B10" t="inlineStr">
        <is>
          <t>RRP_GA</t>
        </is>
      </c>
      <c r="C10" t="inlineStr">
        <is>
          <t>GA</t>
        </is>
      </c>
      <c r="D10" t="n">
        <v>1000</v>
      </c>
      <c r="E10" t="n">
        <v>1008</v>
      </c>
      <c r="F10" s="3" t="n">
        <v>614.5670060287082</v>
      </c>
      <c r="G10" s="3" t="n">
        <v>1212.288506139354</v>
      </c>
      <c r="H10" s="3" t="n">
        <v>6.184355999997933</v>
      </c>
      <c r="I10" t="n">
        <v>124</v>
      </c>
      <c r="J10" t="n">
        <v>992</v>
      </c>
      <c r="K10" t="n">
        <v>16</v>
      </c>
      <c r="L10" s="4" t="n">
        <v>0.9841269841269841</v>
      </c>
      <c r="M10" s="3" t="n">
        <v>0.06983773730513214</v>
      </c>
      <c r="N10" s="3" t="n">
        <v>-0.03097087198724561</v>
      </c>
      <c r="O10" s="3" t="n">
        <v>4.956185532489582</v>
      </c>
      <c r="P10" s="4" t="n">
        <v>0.8145161290322581</v>
      </c>
      <c r="Q10" t="n">
        <v>30</v>
      </c>
      <c r="R10" t="n">
        <v>34</v>
      </c>
      <c r="S10" t="n">
        <v>37</v>
      </c>
      <c r="T10" t="n">
        <v>23</v>
      </c>
      <c r="U10" t="n">
        <v>240</v>
      </c>
      <c r="V10" t="n">
        <v>272</v>
      </c>
      <c r="W10" t="n">
        <v>296</v>
      </c>
      <c r="X10" t="n">
        <v>184</v>
      </c>
      <c r="Y10" t="inlineStr">
        <is>
          <t>P1:30, P2:34, P3:37, P0:23</t>
        </is>
      </c>
      <c r="Z10" t="n">
        <v/>
      </c>
      <c r="AA10" t="n">
        <v/>
      </c>
      <c r="AB10" t="n">
        <v/>
      </c>
    </row>
    <row r="11">
      <c r="A11" t="n">
        <v>2</v>
      </c>
      <c r="B11" t="inlineStr">
        <is>
          <t>RRP_SA</t>
        </is>
      </c>
      <c r="C11" t="inlineStr">
        <is>
          <t>SA</t>
        </is>
      </c>
      <c r="D11" t="n">
        <v>1000</v>
      </c>
      <c r="E11" t="n">
        <v>1000</v>
      </c>
      <c r="F11" s="3" t="n">
        <v>687.908824828329</v>
      </c>
      <c r="G11" s="3" t="n">
        <v>1374.038079898967</v>
      </c>
      <c r="H11" s="3" t="n">
        <v>3.102556099998765</v>
      </c>
      <c r="I11" t="n">
        <v>124</v>
      </c>
      <c r="J11" t="n">
        <v>992</v>
      </c>
      <c r="K11" t="n">
        <v>8</v>
      </c>
      <c r="L11" s="4" t="n">
        <v>0.992</v>
      </c>
      <c r="M11" s="3" t="n">
        <v>0.4985766405921092</v>
      </c>
      <c r="N11" s="3" t="n">
        <v>-0.02433784512327268</v>
      </c>
      <c r="O11" s="3" t="n">
        <v>5.547651813131686</v>
      </c>
      <c r="P11" s="4" t="n">
        <v>0.9032258064516129</v>
      </c>
      <c r="Q11" t="n">
        <v>37</v>
      </c>
      <c r="R11" t="n">
        <v>32</v>
      </c>
      <c r="S11" t="n">
        <v>43</v>
      </c>
      <c r="T11" t="n">
        <v>12</v>
      </c>
      <c r="U11" t="n">
        <v>296</v>
      </c>
      <c r="V11" t="n">
        <v>256</v>
      </c>
      <c r="W11" t="n">
        <v>344</v>
      </c>
      <c r="X11" t="n">
        <v>96</v>
      </c>
      <c r="Y11" t="inlineStr">
        <is>
          <t>P1:37, P2:32, P3:43, P0:12</t>
        </is>
      </c>
      <c r="Z11" t="n">
        <v/>
      </c>
      <c r="AA11" t="n">
        <v/>
      </c>
      <c r="AB11" t="n">
        <v/>
      </c>
    </row>
    <row r="12">
      <c r="A12" t="n">
        <v>3</v>
      </c>
      <c r="B12" t="inlineStr">
        <is>
          <t>RRP_KMEANS</t>
        </is>
      </c>
      <c r="C12" t="inlineStr">
        <is>
          <t>KMeans</t>
        </is>
      </c>
      <c r="D12" t="n">
        <v>1000</v>
      </c>
      <c r="E12" t="n">
        <v>1008</v>
      </c>
      <c r="F12" s="3" t="n">
        <v>593.657460647738</v>
      </c>
      <c r="G12" s="3" t="n">
        <v>1734.996085340736</v>
      </c>
      <c r="H12" s="3" t="n">
        <v>0.194471099996008</v>
      </c>
      <c r="I12" t="n">
        <v>126</v>
      </c>
      <c r="J12" t="n">
        <v>1008</v>
      </c>
      <c r="K12" t="n">
        <v>0</v>
      </c>
      <c r="L12" s="4" t="n">
        <v>1</v>
      </c>
      <c r="M12" s="3" t="n">
        <v>0.0543713257558763</v>
      </c>
      <c r="N12" s="3" t="n">
        <v>-0.002452896851049463</v>
      </c>
      <c r="O12" s="3" t="n">
        <v>4.711567147997921</v>
      </c>
      <c r="P12" s="4" t="n">
        <v>0.7380952380952381</v>
      </c>
      <c r="Q12" t="n">
        <v>30</v>
      </c>
      <c r="R12" t="n">
        <v>35</v>
      </c>
      <c r="S12" t="n">
        <v>28</v>
      </c>
      <c r="T12" t="n">
        <v>33</v>
      </c>
      <c r="U12" t="n">
        <v>240</v>
      </c>
      <c r="V12" t="n">
        <v>280</v>
      </c>
      <c r="W12" t="n">
        <v>224</v>
      </c>
      <c r="X12" t="n">
        <v>264</v>
      </c>
      <c r="Y12" t="inlineStr">
        <is>
          <t>P1:30, P2:35, P3:28, P0:33</t>
        </is>
      </c>
      <c r="Z12" t="n">
        <v/>
      </c>
      <c r="AA12" t="n">
        <v/>
      </c>
      <c r="AB12" t="n">
        <v/>
      </c>
    </row>
    <row r="13">
      <c r="A13" t="n">
        <v>3</v>
      </c>
      <c r="B13" t="inlineStr">
        <is>
          <t>RRP_KMEANS_VNS</t>
        </is>
      </c>
      <c r="C13" t="inlineStr">
        <is>
          <t>KMeans_VNS</t>
        </is>
      </c>
      <c r="D13" t="n">
        <v>1000</v>
      </c>
      <c r="E13" t="n">
        <v>1016</v>
      </c>
      <c r="F13" s="3" t="n">
        <v>636.6226745749585</v>
      </c>
      <c r="G13" s="3" t="n">
        <v>1870.761006191701</v>
      </c>
      <c r="H13" s="3" t="n">
        <v>7.253556700001354</v>
      </c>
      <c r="I13" t="n">
        <v>127</v>
      </c>
      <c r="J13" t="n">
        <v>1016</v>
      </c>
      <c r="K13" t="n">
        <v>0</v>
      </c>
      <c r="L13" s="4" t="n">
        <v>1</v>
      </c>
      <c r="M13" s="3" t="n">
        <v>0.05942132677818192</v>
      </c>
      <c r="N13" s="3" t="n">
        <v>-0.003456120410980718</v>
      </c>
      <c r="O13" s="3" t="n">
        <v>5.012776965157154</v>
      </c>
      <c r="P13" s="4" t="n">
        <v>0.8031496062992126</v>
      </c>
      <c r="Q13" t="n">
        <v>31</v>
      </c>
      <c r="R13" t="n">
        <v>38</v>
      </c>
      <c r="S13" t="n">
        <v>33</v>
      </c>
      <c r="T13" t="n">
        <v>25</v>
      </c>
      <c r="U13" t="n">
        <v>248</v>
      </c>
      <c r="V13" t="n">
        <v>304</v>
      </c>
      <c r="W13" t="n">
        <v>264</v>
      </c>
      <c r="X13" t="n">
        <v>200</v>
      </c>
      <c r="Y13" t="inlineStr">
        <is>
          <t>P1:31, P2:38, P3:33, P0:25</t>
        </is>
      </c>
      <c r="Z13" t="n">
        <v/>
      </c>
      <c r="AA13" t="n">
        <v/>
      </c>
      <c r="AB13" t="n">
        <v/>
      </c>
    </row>
    <row r="14">
      <c r="A14" t="n">
        <v>3</v>
      </c>
      <c r="B14" t="inlineStr">
        <is>
          <t>RRP_MS_KMEANS_VNS</t>
        </is>
      </c>
      <c r="C14" t="inlineStr">
        <is>
          <t>MS_KMeans_VNS</t>
        </is>
      </c>
      <c r="D14" t="n">
        <v>1000</v>
      </c>
      <c r="E14" t="n">
        <v>1016</v>
      </c>
      <c r="F14" s="3" t="n">
        <v>635.6308908308148</v>
      </c>
      <c r="G14" s="3" t="n">
        <v>1844.018443473939</v>
      </c>
      <c r="H14" s="3" t="n">
        <v>5.68525779999618</v>
      </c>
      <c r="I14" t="n">
        <v>127</v>
      </c>
      <c r="J14" t="n">
        <v>1016</v>
      </c>
      <c r="K14" t="n">
        <v>0</v>
      </c>
      <c r="L14" s="4" t="n">
        <v>1</v>
      </c>
      <c r="M14" s="3" t="n">
        <v>0.0581274282181635</v>
      </c>
      <c r="N14" s="3" t="n">
        <v>-0.0004710215381771657</v>
      </c>
      <c r="O14" s="3" t="n">
        <v>5.004967644337125</v>
      </c>
      <c r="P14" s="4" t="n">
        <v>0.7952755905511811</v>
      </c>
      <c r="Q14" t="n">
        <v>33</v>
      </c>
      <c r="R14" t="n">
        <v>34</v>
      </c>
      <c r="S14" t="n">
        <v>34</v>
      </c>
      <c r="T14" t="n">
        <v>26</v>
      </c>
      <c r="U14" t="n">
        <v>264</v>
      </c>
      <c r="V14" t="n">
        <v>272</v>
      </c>
      <c r="W14" t="n">
        <v>272</v>
      </c>
      <c r="X14" t="n">
        <v>208</v>
      </c>
      <c r="Y14" t="inlineStr">
        <is>
          <t>P1:33, P2:34, P3:34, P0:26</t>
        </is>
      </c>
      <c r="Z14" t="n">
        <v/>
      </c>
      <c r="AA14" t="n">
        <v/>
      </c>
      <c r="AB14" t="n">
        <v/>
      </c>
    </row>
    <row r="15">
      <c r="A15" t="n">
        <v>3</v>
      </c>
      <c r="B15" t="inlineStr">
        <is>
          <t>RRP_GA</t>
        </is>
      </c>
      <c r="C15" t="inlineStr">
        <is>
          <t>GA</t>
        </is>
      </c>
      <c r="D15" t="n">
        <v>1000</v>
      </c>
      <c r="E15" t="n">
        <v>1016</v>
      </c>
      <c r="F15" s="3" t="n">
        <v>640.5148635980341</v>
      </c>
      <c r="G15" s="3" t="n">
        <v>1852.803369737388</v>
      </c>
      <c r="H15" s="3" t="n">
        <v>5.901972399995429</v>
      </c>
      <c r="I15" t="n">
        <v>126</v>
      </c>
      <c r="J15" t="n">
        <v>1008</v>
      </c>
      <c r="K15" t="n">
        <v>8</v>
      </c>
      <c r="L15" s="4" t="n">
        <v>0.9921259842519685</v>
      </c>
      <c r="M15" s="3" t="n">
        <v>0.07700577808977947</v>
      </c>
      <c r="N15" s="3" t="n">
        <v>0.008973284183604754</v>
      </c>
      <c r="O15" s="3" t="n">
        <v>5.083451298397097</v>
      </c>
      <c r="P15" s="4" t="n">
        <v>0.8015873015873016</v>
      </c>
      <c r="Q15" t="n">
        <v>32</v>
      </c>
      <c r="R15" t="n">
        <v>38</v>
      </c>
      <c r="S15" t="n">
        <v>31</v>
      </c>
      <c r="T15" t="n">
        <v>25</v>
      </c>
      <c r="U15" t="n">
        <v>256</v>
      </c>
      <c r="V15" t="n">
        <v>304</v>
      </c>
      <c r="W15" t="n">
        <v>248</v>
      </c>
      <c r="X15" t="n">
        <v>200</v>
      </c>
      <c r="Y15" t="inlineStr">
        <is>
          <t>P1:32, P2:38, P3:31, P0:25</t>
        </is>
      </c>
      <c r="Z15" t="n">
        <v/>
      </c>
      <c r="AA15" t="n">
        <v/>
      </c>
      <c r="AB15" t="n">
        <v/>
      </c>
    </row>
    <row r="16">
      <c r="A16" t="n">
        <v>3</v>
      </c>
      <c r="B16" t="inlineStr">
        <is>
          <t>RRP_SA</t>
        </is>
      </c>
      <c r="C16" t="inlineStr">
        <is>
          <t>SA</t>
        </is>
      </c>
      <c r="D16" t="n">
        <v>1000</v>
      </c>
      <c r="E16" t="n">
        <v>1008</v>
      </c>
      <c r="F16" s="3" t="n">
        <v>715.9739439168674</v>
      </c>
      <c r="G16" s="3" t="n">
        <v>2090.012023815834</v>
      </c>
      <c r="H16" s="3" t="n">
        <v>3.185093100008089</v>
      </c>
      <c r="I16" t="n">
        <v>126</v>
      </c>
      <c r="J16" t="n">
        <v>1008</v>
      </c>
      <c r="K16" t="n">
        <v>0</v>
      </c>
      <c r="L16" s="4" t="n">
        <v>1</v>
      </c>
      <c r="M16" s="3" t="n">
        <v>0.4803263624019996</v>
      </c>
      <c r="N16" s="3" t="n">
        <v>0.008786378340599364</v>
      </c>
      <c r="O16" s="3" t="n">
        <v>5.682332888229106</v>
      </c>
      <c r="P16" s="4" t="n">
        <v>0.8888888888888888</v>
      </c>
      <c r="Q16" t="n">
        <v>41</v>
      </c>
      <c r="R16" t="n">
        <v>32</v>
      </c>
      <c r="S16" t="n">
        <v>39</v>
      </c>
      <c r="T16" t="n">
        <v>14</v>
      </c>
      <c r="U16" t="n">
        <v>328</v>
      </c>
      <c r="V16" t="n">
        <v>256</v>
      </c>
      <c r="W16" t="n">
        <v>312</v>
      </c>
      <c r="X16" t="n">
        <v>112</v>
      </c>
      <c r="Y16" t="inlineStr">
        <is>
          <t>P1:41, P2:32, P3:39, P0:14</t>
        </is>
      </c>
      <c r="Z16" t="n">
        <v/>
      </c>
      <c r="AA16" t="n">
        <v/>
      </c>
      <c r="AB16" t="n">
        <v/>
      </c>
    </row>
    <row r="17">
      <c r="A17" t="n">
        <v>4</v>
      </c>
      <c r="B17" t="inlineStr">
        <is>
          <t>RRP_KMEANS</t>
        </is>
      </c>
      <c r="C17" t="inlineStr">
        <is>
          <t>KMeans</t>
        </is>
      </c>
      <c r="D17" t="n">
        <v>1000</v>
      </c>
      <c r="E17" t="n">
        <v>1000</v>
      </c>
      <c r="F17" s="3" t="n">
        <v>593.6509219257211</v>
      </c>
      <c r="G17" s="3" t="n">
        <v>2328.647007266457</v>
      </c>
      <c r="H17" s="3" t="n">
        <v>0.3543751000106568</v>
      </c>
      <c r="I17" t="n">
        <v>124</v>
      </c>
      <c r="J17" t="n">
        <v>992</v>
      </c>
      <c r="K17" t="n">
        <v>8</v>
      </c>
      <c r="L17" s="4" t="n">
        <v>0.992</v>
      </c>
      <c r="M17" s="3" t="n">
        <v>0.05630291520627574</v>
      </c>
      <c r="N17" s="3" t="n">
        <v>0.004698316596648326</v>
      </c>
      <c r="O17" s="3" t="n">
        <v>4.787507434884848</v>
      </c>
      <c r="P17" s="4" t="n">
        <v>0.7580645161290323</v>
      </c>
      <c r="Q17" t="n">
        <v>30</v>
      </c>
      <c r="R17" t="n">
        <v>34</v>
      </c>
      <c r="S17" t="n">
        <v>30</v>
      </c>
      <c r="T17" t="n">
        <v>30</v>
      </c>
      <c r="U17" t="n">
        <v>240</v>
      </c>
      <c r="V17" t="n">
        <v>272</v>
      </c>
      <c r="W17" t="n">
        <v>240</v>
      </c>
      <c r="X17" t="n">
        <v>240</v>
      </c>
      <c r="Y17" t="inlineStr">
        <is>
          <t>P1:30, P2:34, P3:30, P0:30</t>
        </is>
      </c>
      <c r="Z17" t="n">
        <v/>
      </c>
      <c r="AA17" t="n">
        <v/>
      </c>
      <c r="AB17" t="n">
        <v/>
      </c>
    </row>
    <row r="18">
      <c r="A18" t="n">
        <v>4</v>
      </c>
      <c r="B18" t="inlineStr">
        <is>
          <t>RRP_KMEANS_VNS</t>
        </is>
      </c>
      <c r="C18" t="inlineStr">
        <is>
          <t>KMeans_VNS</t>
        </is>
      </c>
      <c r="D18" t="n">
        <v>1000</v>
      </c>
      <c r="E18" t="n">
        <v>1000</v>
      </c>
      <c r="F18" s="3" t="n">
        <v>634.5492165489469</v>
      </c>
      <c r="G18" s="3" t="n">
        <v>2505.310222740648</v>
      </c>
      <c r="H18" s="3" t="n">
        <v>10.78619450000406</v>
      </c>
      <c r="I18" t="n">
        <v>124</v>
      </c>
      <c r="J18" t="n">
        <v>992</v>
      </c>
      <c r="K18" t="n">
        <v>8</v>
      </c>
      <c r="L18" s="4" t="n">
        <v>0.992</v>
      </c>
      <c r="M18" s="3" t="n">
        <v>0.07270700823438726</v>
      </c>
      <c r="N18" s="3" t="n">
        <v>-0.003241652365997976</v>
      </c>
      <c r="O18" s="3" t="n">
        <v>5.117332391523766</v>
      </c>
      <c r="P18" s="4" t="n">
        <v>0.8225806451612904</v>
      </c>
      <c r="Q18" t="n">
        <v>32</v>
      </c>
      <c r="R18" t="n">
        <v>35</v>
      </c>
      <c r="S18" t="n">
        <v>35</v>
      </c>
      <c r="T18" t="n">
        <v>22</v>
      </c>
      <c r="U18" t="n">
        <v>256</v>
      </c>
      <c r="V18" t="n">
        <v>280</v>
      </c>
      <c r="W18" t="n">
        <v>280</v>
      </c>
      <c r="X18" t="n">
        <v>176</v>
      </c>
      <c r="Y18" t="inlineStr">
        <is>
          <t>P1:32, P2:35, P3:35, P0:22</t>
        </is>
      </c>
      <c r="Z18" t="n">
        <v/>
      </c>
      <c r="AA18" t="n">
        <v/>
      </c>
      <c r="AB18" t="n">
        <v/>
      </c>
    </row>
    <row r="19">
      <c r="A19" t="n">
        <v>4</v>
      </c>
      <c r="B19" t="inlineStr">
        <is>
          <t>RRP_MS_KMEANS_VNS</t>
        </is>
      </c>
      <c r="C19" t="inlineStr">
        <is>
          <t>MS_KMeans_VNS</t>
        </is>
      </c>
      <c r="D19" t="n">
        <v>1000</v>
      </c>
      <c r="E19" t="n">
        <v>1000</v>
      </c>
      <c r="F19" s="3" t="n">
        <v>608.6809330577084</v>
      </c>
      <c r="G19" s="3" t="n">
        <v>2452.699376531647</v>
      </c>
      <c r="H19" s="3" t="n">
        <v>5.896428899999592</v>
      </c>
      <c r="I19" t="n">
        <v>121</v>
      </c>
      <c r="J19" t="n">
        <v>968</v>
      </c>
      <c r="K19" t="n">
        <v>32</v>
      </c>
      <c r="L19" s="4" t="n">
        <v>0.968</v>
      </c>
      <c r="M19" s="3" t="n">
        <v>0.05273833756887072</v>
      </c>
      <c r="N19" s="3" t="n">
        <v>0.008725774099193898</v>
      </c>
      <c r="O19" s="3" t="n">
        <v>5.030420934361227</v>
      </c>
      <c r="P19" s="4" t="n">
        <v>0.8099173553719008</v>
      </c>
      <c r="Q19" t="n">
        <v>30</v>
      </c>
      <c r="R19" t="n">
        <v>35</v>
      </c>
      <c r="S19" t="n">
        <v>33</v>
      </c>
      <c r="T19" t="n">
        <v>23</v>
      </c>
      <c r="U19" t="n">
        <v>240</v>
      </c>
      <c r="V19" t="n">
        <v>280</v>
      </c>
      <c r="W19" t="n">
        <v>264</v>
      </c>
      <c r="X19" t="n">
        <v>184</v>
      </c>
      <c r="Y19" t="inlineStr">
        <is>
          <t>P1:30, P2:35, P3:33, P0:23</t>
        </is>
      </c>
      <c r="Z19" t="n">
        <v/>
      </c>
      <c r="AA19" t="n">
        <v/>
      </c>
      <c r="AB19" t="n">
        <v/>
      </c>
    </row>
    <row r="20">
      <c r="A20" t="n">
        <v>4</v>
      </c>
      <c r="B20" t="inlineStr">
        <is>
          <t>RRP_GA</t>
        </is>
      </c>
      <c r="C20" t="inlineStr">
        <is>
          <t>GA</t>
        </is>
      </c>
      <c r="D20" t="n">
        <v>1000</v>
      </c>
      <c r="E20" t="n">
        <v>1008</v>
      </c>
      <c r="F20" s="3" t="n">
        <v>638.4776362087848</v>
      </c>
      <c r="G20" s="3" t="n">
        <v>2491.281005946174</v>
      </c>
      <c r="H20" s="3" t="n">
        <v>5.833694000000833</v>
      </c>
      <c r="I20" t="n">
        <v>124</v>
      </c>
      <c r="J20" t="n">
        <v>992</v>
      </c>
      <c r="K20" t="n">
        <v>16</v>
      </c>
      <c r="L20" s="4" t="n">
        <v>0.9841269841269841</v>
      </c>
      <c r="M20" s="3" t="n">
        <v>0.084252224389538</v>
      </c>
      <c r="N20" s="3" t="n">
        <v>0.01071568334444771</v>
      </c>
      <c r="O20" s="3" t="n">
        <v>5.149013195232135</v>
      </c>
      <c r="P20" s="4" t="n">
        <v>0.8306451612903226</v>
      </c>
      <c r="Q20" t="n">
        <v>33</v>
      </c>
      <c r="R20" t="n">
        <v>33</v>
      </c>
      <c r="S20" t="n">
        <v>37</v>
      </c>
      <c r="T20" t="n">
        <v>21</v>
      </c>
      <c r="U20" t="n">
        <v>264</v>
      </c>
      <c r="V20" t="n">
        <v>264</v>
      </c>
      <c r="W20" t="n">
        <v>296</v>
      </c>
      <c r="X20" t="n">
        <v>168</v>
      </c>
      <c r="Y20" t="inlineStr">
        <is>
          <t>P1:33, P2:33, P3:37, P0:21</t>
        </is>
      </c>
      <c r="Z20" t="n">
        <v/>
      </c>
      <c r="AA20" t="n">
        <v/>
      </c>
      <c r="AB20" t="n">
        <v/>
      </c>
    </row>
    <row r="21">
      <c r="A21" t="n">
        <v>4</v>
      </c>
      <c r="B21" t="inlineStr">
        <is>
          <t>RRP_SA</t>
        </is>
      </c>
      <c r="C21" t="inlineStr">
        <is>
          <t>SA</t>
        </is>
      </c>
      <c r="D21" t="n">
        <v>1000</v>
      </c>
      <c r="E21" t="n">
        <v>1000</v>
      </c>
      <c r="F21" s="3" t="n">
        <v>698.9441793008024</v>
      </c>
      <c r="G21" s="3" t="n">
        <v>2788.956203116637</v>
      </c>
      <c r="H21" s="3" t="n">
        <v>3.192118800012395</v>
      </c>
      <c r="I21" t="n">
        <v>124</v>
      </c>
      <c r="J21" t="n">
        <v>992</v>
      </c>
      <c r="K21" t="n">
        <v>8</v>
      </c>
      <c r="L21" s="4" t="n">
        <v>0.992</v>
      </c>
      <c r="M21" s="3" t="n">
        <v>0.4928743063221775</v>
      </c>
      <c r="N21" s="3" t="n">
        <v>0.01252610454005702</v>
      </c>
      <c r="O21" s="3" t="n">
        <v>5.636646607264535</v>
      </c>
      <c r="P21" s="4" t="n">
        <v>0.8870967741935484</v>
      </c>
      <c r="Q21" t="n">
        <v>39</v>
      </c>
      <c r="R21" t="n">
        <v>33</v>
      </c>
      <c r="S21" t="n">
        <v>38</v>
      </c>
      <c r="T21" t="n">
        <v>14</v>
      </c>
      <c r="U21" t="n">
        <v>312</v>
      </c>
      <c r="V21" t="n">
        <v>264</v>
      </c>
      <c r="W21" t="n">
        <v>304</v>
      </c>
      <c r="X21" t="n">
        <v>112</v>
      </c>
      <c r="Y21" t="inlineStr">
        <is>
          <t>P1:39, P2:33, P3:38, P0:14</t>
        </is>
      </c>
      <c r="Z21" t="n">
        <v/>
      </c>
      <c r="AA21" t="n">
        <v/>
      </c>
      <c r="AB21" t="n">
        <v/>
      </c>
    </row>
    <row r="22">
      <c r="A22" t="n">
        <v>5</v>
      </c>
      <c r="B22" t="inlineStr">
        <is>
          <t>RRP_KMEANS</t>
        </is>
      </c>
      <c r="C22" t="inlineStr">
        <is>
          <t>KMeans</t>
        </is>
      </c>
      <c r="D22" t="n">
        <v>1000</v>
      </c>
      <c r="E22" t="n">
        <v>1008</v>
      </c>
      <c r="F22" s="3" t="n">
        <v>590.6509951212104</v>
      </c>
      <c r="G22" s="3" t="n">
        <v>2919.298002387667</v>
      </c>
      <c r="H22" s="3" t="n">
        <v>0.2898948000074597</v>
      </c>
      <c r="I22" t="n">
        <v>125</v>
      </c>
      <c r="J22" t="n">
        <v>1000</v>
      </c>
      <c r="K22" t="n">
        <v>8</v>
      </c>
      <c r="L22" s="4" t="n">
        <v>0.9920634920634921</v>
      </c>
      <c r="M22" s="3" t="n">
        <v>0.05584078060632174</v>
      </c>
      <c r="N22" s="3" t="n">
        <v>0.007861385413786415</v>
      </c>
      <c r="O22" s="3" t="n">
        <v>4.725207960969683</v>
      </c>
      <c r="P22" s="4" t="n">
        <v>0.768</v>
      </c>
      <c r="Q22" t="n">
        <v>30</v>
      </c>
      <c r="R22" t="n">
        <v>31</v>
      </c>
      <c r="S22" t="n">
        <v>35</v>
      </c>
      <c r="T22" t="n">
        <v>29</v>
      </c>
      <c r="U22" t="n">
        <v>240</v>
      </c>
      <c r="V22" t="n">
        <v>248</v>
      </c>
      <c r="W22" t="n">
        <v>280</v>
      </c>
      <c r="X22" t="n">
        <v>232</v>
      </c>
      <c r="Y22" t="inlineStr">
        <is>
          <t>P1:30, P2:31, P3:35, P0:29</t>
        </is>
      </c>
      <c r="Z22" t="n">
        <v/>
      </c>
      <c r="AA22" t="n">
        <v/>
      </c>
      <c r="AB22" t="n">
        <v/>
      </c>
    </row>
    <row r="23">
      <c r="A23" t="n">
        <v>5</v>
      </c>
      <c r="B23" t="inlineStr">
        <is>
          <t>RRP_KMEANS_VNS</t>
        </is>
      </c>
      <c r="C23" t="inlineStr">
        <is>
          <t>KMeans_VNS</t>
        </is>
      </c>
      <c r="D23" t="n">
        <v>1000</v>
      </c>
      <c r="E23" t="n">
        <v>1008</v>
      </c>
      <c r="F23" s="3" t="n">
        <v>632.6119748248689</v>
      </c>
      <c r="G23" s="3" t="n">
        <v>3137.922197565516</v>
      </c>
      <c r="H23" s="3" t="n">
        <v>8.013006099994527</v>
      </c>
      <c r="I23" t="n">
        <v>125</v>
      </c>
      <c r="J23" t="n">
        <v>1000</v>
      </c>
      <c r="K23" t="n">
        <v>8</v>
      </c>
      <c r="L23" s="4" t="n">
        <v>0.9920634920634921</v>
      </c>
      <c r="M23" s="3" t="n">
        <v>0.06208402802098141</v>
      </c>
      <c r="N23" s="3" t="n">
        <v>0.00811502115590562</v>
      </c>
      <c r="O23" s="3" t="n">
        <v>5.060895798598951</v>
      </c>
      <c r="P23" s="4" t="n">
        <v>0.8080000000000001</v>
      </c>
      <c r="Q23" t="n">
        <v>33</v>
      </c>
      <c r="R23" t="n">
        <v>33</v>
      </c>
      <c r="S23" t="n">
        <v>35</v>
      </c>
      <c r="T23" t="n">
        <v>24</v>
      </c>
      <c r="U23" t="n">
        <v>264</v>
      </c>
      <c r="V23" t="n">
        <v>264</v>
      </c>
      <c r="W23" t="n">
        <v>280</v>
      </c>
      <c r="X23" t="n">
        <v>192</v>
      </c>
      <c r="Y23" t="inlineStr">
        <is>
          <t>P1:33, P2:33, P3:35, P0:24</t>
        </is>
      </c>
      <c r="Z23" t="n">
        <v/>
      </c>
      <c r="AA23" t="n">
        <v/>
      </c>
      <c r="AB23" t="n">
        <v/>
      </c>
    </row>
    <row r="24">
      <c r="A24" t="n">
        <v>5</v>
      </c>
      <c r="B24" t="inlineStr">
        <is>
          <t>RRP_MS_KMEANS_VNS</t>
        </is>
      </c>
      <c r="C24" t="inlineStr">
        <is>
          <t>MS_KMeans_VNS</t>
        </is>
      </c>
      <c r="D24" t="n">
        <v>1000</v>
      </c>
      <c r="E24" t="n">
        <v>1032</v>
      </c>
      <c r="F24" s="3" t="n">
        <v>638.6371168769961</v>
      </c>
      <c r="G24" s="3" t="n">
        <v>3091.336493408643</v>
      </c>
      <c r="H24" s="3" t="n">
        <v>5.45581040000252</v>
      </c>
      <c r="I24" t="n">
        <v>128</v>
      </c>
      <c r="J24" t="n">
        <v>1024</v>
      </c>
      <c r="K24" t="n">
        <v>8</v>
      </c>
      <c r="L24" s="4" t="n">
        <v>0.9922480620155039</v>
      </c>
      <c r="M24" s="3" t="n">
        <v>0.05670048796936586</v>
      </c>
      <c r="N24" s="3" t="n">
        <v>0.00841104073092807</v>
      </c>
      <c r="O24" s="3" t="n">
        <v>4.989352475601532</v>
      </c>
      <c r="P24" s="4" t="n">
        <v>0.796875</v>
      </c>
      <c r="Q24" t="n">
        <v>33</v>
      </c>
      <c r="R24" t="n">
        <v>34</v>
      </c>
      <c r="S24" t="n">
        <v>35</v>
      </c>
      <c r="T24" t="n">
        <v>26</v>
      </c>
      <c r="U24" t="n">
        <v>264</v>
      </c>
      <c r="V24" t="n">
        <v>272</v>
      </c>
      <c r="W24" t="n">
        <v>280</v>
      </c>
      <c r="X24" t="n">
        <v>208</v>
      </c>
      <c r="Y24" t="inlineStr">
        <is>
          <t>P1:33, P2:34, P3:35, P0:26</t>
        </is>
      </c>
      <c r="Z24" t="n">
        <v/>
      </c>
      <c r="AA24" t="n">
        <v/>
      </c>
      <c r="AB24" t="n">
        <v/>
      </c>
    </row>
    <row r="25">
      <c r="A25" t="n">
        <v>5</v>
      </c>
      <c r="B25" t="inlineStr">
        <is>
          <t>RRP_GA</t>
        </is>
      </c>
      <c r="C25" t="inlineStr">
        <is>
          <t>GA</t>
        </is>
      </c>
      <c r="D25" t="n">
        <v>1000</v>
      </c>
      <c r="E25" t="n">
        <v>1016</v>
      </c>
      <c r="F25" s="3" t="n">
        <v>625.6690080795</v>
      </c>
      <c r="G25" s="3" t="n">
        <v>3116.950014025674</v>
      </c>
      <c r="H25" s="3" t="n">
        <v>4.891523900005268</v>
      </c>
      <c r="I25" t="n">
        <v>126</v>
      </c>
      <c r="J25" t="n">
        <v>1008</v>
      </c>
      <c r="K25" t="n">
        <v>8</v>
      </c>
      <c r="L25" s="4" t="n">
        <v>0.9921259842519685</v>
      </c>
      <c r="M25" s="3" t="n">
        <v>0.05253840007934937</v>
      </c>
      <c r="N25" s="3" t="n">
        <v>0.01785314079393555</v>
      </c>
      <c r="O25" s="3" t="n">
        <v>4.96562704825</v>
      </c>
      <c r="P25" s="4" t="n">
        <v>0.7936507936507936</v>
      </c>
      <c r="Q25" t="n">
        <v>32</v>
      </c>
      <c r="R25" t="n">
        <v>34</v>
      </c>
      <c r="S25" t="n">
        <v>34</v>
      </c>
      <c r="T25" t="n">
        <v>26</v>
      </c>
      <c r="U25" t="n">
        <v>256</v>
      </c>
      <c r="V25" t="n">
        <v>272</v>
      </c>
      <c r="W25" t="n">
        <v>272</v>
      </c>
      <c r="X25" t="n">
        <v>208</v>
      </c>
      <c r="Y25" t="inlineStr">
        <is>
          <t>P1:32, P2:34, P3:34, P0:26</t>
        </is>
      </c>
      <c r="Z25" t="n">
        <v/>
      </c>
      <c r="AA25" t="n">
        <v/>
      </c>
      <c r="AB25" t="n">
        <v/>
      </c>
    </row>
    <row r="26">
      <c r="A26" t="n">
        <v>5</v>
      </c>
      <c r="B26" t="inlineStr">
        <is>
          <t>RRP_SA</t>
        </is>
      </c>
      <c r="C26" t="inlineStr">
        <is>
          <t>SA</t>
        </is>
      </c>
      <c r="D26" t="n">
        <v>1000</v>
      </c>
      <c r="E26" t="n">
        <v>1008</v>
      </c>
      <c r="F26" s="3" t="n">
        <v>690.8183194279229</v>
      </c>
      <c r="G26" s="3" t="n">
        <v>3479.77452254456</v>
      </c>
      <c r="H26" s="3" t="n">
        <v>3.169427400003769</v>
      </c>
      <c r="I26" t="n">
        <v>125</v>
      </c>
      <c r="J26" t="n">
        <v>1000</v>
      </c>
      <c r="K26" t="n">
        <v>8</v>
      </c>
      <c r="L26" s="4" t="n">
        <v>0.9920634920634921</v>
      </c>
      <c r="M26" s="3" t="n">
        <v>0.5090688915323274</v>
      </c>
      <c r="N26" s="3" t="n">
        <v>0.002752317390758751</v>
      </c>
      <c r="O26" s="3" t="n">
        <v>5.526546555423383</v>
      </c>
      <c r="P26" s="4" t="n">
        <v>0.872</v>
      </c>
      <c r="Q26" t="n">
        <v>34</v>
      </c>
      <c r="R26" t="n">
        <v>43</v>
      </c>
      <c r="S26" t="n">
        <v>32</v>
      </c>
      <c r="T26" t="n">
        <v>16</v>
      </c>
      <c r="U26" t="n">
        <v>272</v>
      </c>
      <c r="V26" t="n">
        <v>344</v>
      </c>
      <c r="W26" t="n">
        <v>256</v>
      </c>
      <c r="X26" t="n">
        <v>128</v>
      </c>
      <c r="Y26" t="inlineStr">
        <is>
          <t>P1:34, P2:43, P3:32, P0:16</t>
        </is>
      </c>
      <c r="Z26" t="n">
        <v/>
      </c>
      <c r="AA26" t="n">
        <v/>
      </c>
      <c r="AB26" t="n">
        <v/>
      </c>
    </row>
    <row r="27">
      <c r="A27" t="n">
        <v>6</v>
      </c>
      <c r="B27" t="inlineStr">
        <is>
          <t>RRP_KMEANS</t>
        </is>
      </c>
      <c r="C27" t="inlineStr">
        <is>
          <t>KMeans</t>
        </is>
      </c>
      <c r="D27" t="n">
        <v>1000</v>
      </c>
      <c r="E27" t="n">
        <v>1008</v>
      </c>
      <c r="F27" s="3" t="n">
        <v>576.6400242395413</v>
      </c>
      <c r="G27" s="3" t="n">
        <v>3495.938026627208</v>
      </c>
      <c r="H27" s="3" t="n">
        <v>0.1765061000041896</v>
      </c>
      <c r="I27" t="n">
        <v>124</v>
      </c>
      <c r="J27" t="n">
        <v>992</v>
      </c>
      <c r="K27" t="n">
        <v>16</v>
      </c>
      <c r="L27" s="4" t="n">
        <v>0.9841269841269841</v>
      </c>
      <c r="M27" s="3" t="n">
        <v>0.05806060652559376</v>
      </c>
      <c r="N27" s="3" t="n">
        <v>-0.009070695641681005</v>
      </c>
      <c r="O27" s="3" t="n">
        <v>4.650322776125333</v>
      </c>
      <c r="P27" s="4" t="n">
        <v>0.7661290322580645</v>
      </c>
      <c r="Q27" t="n">
        <v>28</v>
      </c>
      <c r="R27" t="n">
        <v>32</v>
      </c>
      <c r="S27" t="n">
        <v>35</v>
      </c>
      <c r="T27" t="n">
        <v>29</v>
      </c>
      <c r="U27" t="n">
        <v>224</v>
      </c>
      <c r="V27" t="n">
        <v>256</v>
      </c>
      <c r="W27" t="n">
        <v>280</v>
      </c>
      <c r="X27" t="n">
        <v>232</v>
      </c>
      <c r="Y27" t="inlineStr">
        <is>
          <t>P1:28, P2:32, P3:35, P0:29</t>
        </is>
      </c>
      <c r="Z27" t="n">
        <v/>
      </c>
      <c r="AA27" t="n">
        <v/>
      </c>
      <c r="AB27" t="n">
        <v/>
      </c>
    </row>
    <row r="28">
      <c r="A28" t="n">
        <v>6</v>
      </c>
      <c r="B28" t="inlineStr">
        <is>
          <t>RRP_KMEANS_VNS</t>
        </is>
      </c>
      <c r="C28" t="inlineStr">
        <is>
          <t>KMeans_VNS</t>
        </is>
      </c>
      <c r="D28" t="n">
        <v>1000</v>
      </c>
      <c r="E28" t="n">
        <v>1008</v>
      </c>
      <c r="F28" s="3" t="n">
        <v>634.5624187772354</v>
      </c>
      <c r="G28" s="3" t="n">
        <v>3772.484616342752</v>
      </c>
      <c r="H28" s="3" t="n">
        <v>11.55070649999834</v>
      </c>
      <c r="I28" t="n">
        <v>124</v>
      </c>
      <c r="J28" t="n">
        <v>992</v>
      </c>
      <c r="K28" t="n">
        <v>16</v>
      </c>
      <c r="L28" s="4" t="n">
        <v>0.9841269841269841</v>
      </c>
      <c r="M28" s="3" t="n">
        <v>0.07057761657495208</v>
      </c>
      <c r="N28" s="3" t="n">
        <v>0.006176598611833554</v>
      </c>
      <c r="O28" s="3" t="n">
        <v>5.117438861106737</v>
      </c>
      <c r="P28" s="4" t="n">
        <v>0.8225806451612904</v>
      </c>
      <c r="Q28" t="n">
        <v>32</v>
      </c>
      <c r="R28" t="n">
        <v>35</v>
      </c>
      <c r="S28" t="n">
        <v>35</v>
      </c>
      <c r="T28" t="n">
        <v>22</v>
      </c>
      <c r="U28" t="n">
        <v>256</v>
      </c>
      <c r="V28" t="n">
        <v>280</v>
      </c>
      <c r="W28" t="n">
        <v>280</v>
      </c>
      <c r="X28" t="n">
        <v>176</v>
      </c>
      <c r="Y28" t="inlineStr">
        <is>
          <t>P1:32, P2:35, P3:35, P0:22</t>
        </is>
      </c>
      <c r="Z28" t="n">
        <v/>
      </c>
      <c r="AA28" t="n">
        <v/>
      </c>
      <c r="AB28" t="n">
        <v/>
      </c>
    </row>
    <row r="29">
      <c r="A29" t="n">
        <v>6</v>
      </c>
      <c r="B29" t="inlineStr">
        <is>
          <t>RRP_MS_KMEANS_VNS</t>
        </is>
      </c>
      <c r="C29" t="inlineStr">
        <is>
          <t>MS_KMeans_VNS</t>
        </is>
      </c>
      <c r="D29" t="n">
        <v>1000</v>
      </c>
      <c r="E29" t="n">
        <v>1008</v>
      </c>
      <c r="F29" s="3" t="n">
        <v>611.6847982574349</v>
      </c>
      <c r="G29" s="3" t="n">
        <v>3703.021291666078</v>
      </c>
      <c r="H29" s="3" t="n">
        <v>5.517332099989289</v>
      </c>
      <c r="I29" t="n">
        <v>123</v>
      </c>
      <c r="J29" t="n">
        <v>984</v>
      </c>
      <c r="K29" t="n">
        <v>24</v>
      </c>
      <c r="L29" s="4" t="n">
        <v>0.9761904761904762</v>
      </c>
      <c r="M29" s="3" t="n">
        <v>0.05125231586426973</v>
      </c>
      <c r="N29" s="3" t="n">
        <v>-0.005145536601208269</v>
      </c>
      <c r="O29" s="3" t="n">
        <v>4.973047140304349</v>
      </c>
      <c r="P29" s="4" t="n">
        <v>0.8048780487804879</v>
      </c>
      <c r="Q29" t="n">
        <v>30</v>
      </c>
      <c r="R29" t="n">
        <v>35</v>
      </c>
      <c r="S29" t="n">
        <v>34</v>
      </c>
      <c r="T29" t="n">
        <v>24</v>
      </c>
      <c r="U29" t="n">
        <v>240</v>
      </c>
      <c r="V29" t="n">
        <v>280</v>
      </c>
      <c r="W29" t="n">
        <v>272</v>
      </c>
      <c r="X29" t="n">
        <v>192</v>
      </c>
      <c r="Y29" t="inlineStr">
        <is>
          <t>P1:30, P2:35, P3:34, P0:24</t>
        </is>
      </c>
      <c r="Z29" t="n">
        <v/>
      </c>
      <c r="AA29" t="n">
        <v/>
      </c>
      <c r="AB29" t="n">
        <v/>
      </c>
    </row>
    <row r="30">
      <c r="A30" t="n">
        <v>6</v>
      </c>
      <c r="B30" t="inlineStr">
        <is>
          <t>RRP_GA</t>
        </is>
      </c>
      <c r="C30" t="inlineStr">
        <is>
          <t>GA</t>
        </is>
      </c>
      <c r="D30" t="n">
        <v>1000</v>
      </c>
      <c r="E30" t="n">
        <v>1008</v>
      </c>
      <c r="F30" s="3" t="n">
        <v>613.559864238472</v>
      </c>
      <c r="G30" s="3" t="n">
        <v>3730.509878264146</v>
      </c>
      <c r="H30" s="3" t="n">
        <v>4.700504499996896</v>
      </c>
      <c r="I30" t="n">
        <v>124</v>
      </c>
      <c r="J30" t="n">
        <v>992</v>
      </c>
      <c r="K30" t="n">
        <v>16</v>
      </c>
      <c r="L30" s="4" t="n">
        <v>0.9841269841269841</v>
      </c>
      <c r="M30" s="3" t="n">
        <v>0.0709896389561378</v>
      </c>
      <c r="N30" s="3" t="n">
        <v>-0.01729495526276687</v>
      </c>
      <c r="O30" s="3" t="n">
        <v>4.948063421277999</v>
      </c>
      <c r="P30" s="4" t="n">
        <v>0.8064516129032258</v>
      </c>
      <c r="Q30" t="n">
        <v>29</v>
      </c>
      <c r="R30" t="n">
        <v>37</v>
      </c>
      <c r="S30" t="n">
        <v>34</v>
      </c>
      <c r="T30" t="n">
        <v>24</v>
      </c>
      <c r="U30" t="n">
        <v>232</v>
      </c>
      <c r="V30" t="n">
        <v>296</v>
      </c>
      <c r="W30" t="n">
        <v>272</v>
      </c>
      <c r="X30" t="n">
        <v>192</v>
      </c>
      <c r="Y30" t="inlineStr">
        <is>
          <t>P1:29, P2:37, P3:34, P0:24</t>
        </is>
      </c>
      <c r="Z30" t="n">
        <v/>
      </c>
      <c r="AA30" t="n">
        <v/>
      </c>
      <c r="AB30" t="n">
        <v/>
      </c>
    </row>
    <row r="31">
      <c r="A31" t="n">
        <v>6</v>
      </c>
      <c r="B31" t="inlineStr">
        <is>
          <t>RRP_SA</t>
        </is>
      </c>
      <c r="C31" t="inlineStr">
        <is>
          <t>SA</t>
        </is>
      </c>
      <c r="D31" t="n">
        <v>1000</v>
      </c>
      <c r="E31" t="n">
        <v>1008</v>
      </c>
      <c r="F31" s="3" t="n">
        <v>684.0381063066576</v>
      </c>
      <c r="G31" s="3" t="n">
        <v>4163.812628851218</v>
      </c>
      <c r="H31" s="3" t="n">
        <v>3.333343100006459</v>
      </c>
      <c r="I31" t="n">
        <v>125</v>
      </c>
      <c r="J31" t="n">
        <v>1000</v>
      </c>
      <c r="K31" t="n">
        <v>8</v>
      </c>
      <c r="L31" s="4" t="n">
        <v>0.9920634920634921</v>
      </c>
      <c r="M31" s="3" t="n">
        <v>0.4739029909347743</v>
      </c>
      <c r="N31" s="3" t="n">
        <v>-0.018004911415355</v>
      </c>
      <c r="O31" s="3" t="n">
        <v>5.472304850453261</v>
      </c>
      <c r="P31" s="4" t="n">
        <v>0.88</v>
      </c>
      <c r="Q31" t="n">
        <v>36</v>
      </c>
      <c r="R31" t="n">
        <v>35</v>
      </c>
      <c r="S31" t="n">
        <v>39</v>
      </c>
      <c r="T31" t="n">
        <v>15</v>
      </c>
      <c r="U31" t="n">
        <v>288</v>
      </c>
      <c r="V31" t="n">
        <v>280</v>
      </c>
      <c r="W31" t="n">
        <v>312</v>
      </c>
      <c r="X31" t="n">
        <v>120</v>
      </c>
      <c r="Y31" t="inlineStr">
        <is>
          <t>P1:36, P2:35, P3:39, P0:15</t>
        </is>
      </c>
      <c r="Z31" t="n">
        <v/>
      </c>
      <c r="AA31" t="n">
        <v/>
      </c>
      <c r="AB31" t="n">
        <v/>
      </c>
    </row>
    <row r="32">
      <c r="A32" t="n">
        <v>7</v>
      </c>
      <c r="B32" t="inlineStr">
        <is>
          <t>RRP_KMEANS</t>
        </is>
      </c>
      <c r="C32" t="inlineStr">
        <is>
          <t>KMeans</t>
        </is>
      </c>
      <c r="D32" t="n">
        <v>1000</v>
      </c>
      <c r="E32" t="n">
        <v>1016</v>
      </c>
      <c r="F32" s="3" t="n">
        <v>590.5682721133243</v>
      </c>
      <c r="G32" s="3" t="n">
        <v>4086.506298740533</v>
      </c>
      <c r="H32" s="3" t="n">
        <v>0.296551699997508</v>
      </c>
      <c r="I32" t="n">
        <v>127</v>
      </c>
      <c r="J32" t="n">
        <v>1016</v>
      </c>
      <c r="K32" t="n">
        <v>0</v>
      </c>
      <c r="L32" s="4" t="n">
        <v>1</v>
      </c>
      <c r="M32" s="3" t="n">
        <v>0.06798864357097817</v>
      </c>
      <c r="N32" s="3" t="n">
        <v>-0.0005241434085181669</v>
      </c>
      <c r="O32" s="3" t="n">
        <v>4.650143874908065</v>
      </c>
      <c r="P32" s="4" t="n">
        <v>0.7322834645669292</v>
      </c>
      <c r="Q32" t="n">
        <v>30</v>
      </c>
      <c r="R32" t="n">
        <v>34</v>
      </c>
      <c r="S32" t="n">
        <v>29</v>
      </c>
      <c r="T32" t="n">
        <v>34</v>
      </c>
      <c r="U32" t="n">
        <v>240</v>
      </c>
      <c r="V32" t="n">
        <v>272</v>
      </c>
      <c r="W32" t="n">
        <v>232</v>
      </c>
      <c r="X32" t="n">
        <v>272</v>
      </c>
      <c r="Y32" t="inlineStr">
        <is>
          <t>P1:30, P2:34, P3:29, P0:34</t>
        </is>
      </c>
      <c r="Z32" t="n">
        <v/>
      </c>
      <c r="AA32" t="n">
        <v/>
      </c>
      <c r="AB32" t="n">
        <v/>
      </c>
    </row>
    <row r="33">
      <c r="A33" t="n">
        <v>7</v>
      </c>
      <c r="B33" t="inlineStr">
        <is>
          <t>RRP_KMEANS_VNS</t>
        </is>
      </c>
      <c r="C33" t="inlineStr">
        <is>
          <t>KMeans_VNS</t>
        </is>
      </c>
      <c r="D33" t="n">
        <v>1000</v>
      </c>
      <c r="E33" t="n">
        <v>1016</v>
      </c>
      <c r="F33" s="3" t="n">
        <v>634.646778224144</v>
      </c>
      <c r="G33" s="3" t="n">
        <v>4407.131394566896</v>
      </c>
      <c r="H33" s="3" t="n">
        <v>7.360143800004153</v>
      </c>
      <c r="I33" t="n">
        <v>126</v>
      </c>
      <c r="J33" t="n">
        <v>1008</v>
      </c>
      <c r="K33" t="n">
        <v>8</v>
      </c>
      <c r="L33" s="4" t="n">
        <v>0.9921259842519685</v>
      </c>
      <c r="M33" s="3" t="n">
        <v>0.05606694854858503</v>
      </c>
      <c r="N33" s="3" t="n">
        <v>0.003473723434712454</v>
      </c>
      <c r="O33" s="3" t="n">
        <v>5.036879192255111</v>
      </c>
      <c r="P33" s="4" t="n">
        <v>0.7777777777777778</v>
      </c>
      <c r="Q33" t="n">
        <v>32</v>
      </c>
      <c r="R33" t="n">
        <v>39</v>
      </c>
      <c r="S33" t="n">
        <v>27</v>
      </c>
      <c r="T33" t="n">
        <v>28</v>
      </c>
      <c r="U33" t="n">
        <v>256</v>
      </c>
      <c r="V33" t="n">
        <v>312</v>
      </c>
      <c r="W33" t="n">
        <v>216</v>
      </c>
      <c r="X33" t="n">
        <v>224</v>
      </c>
      <c r="Y33" t="inlineStr">
        <is>
          <t>P1:32, P2:39, P3:27, P0:28</t>
        </is>
      </c>
      <c r="Z33" t="n">
        <v/>
      </c>
      <c r="AA33" t="n">
        <v/>
      </c>
      <c r="AB33" t="n">
        <v/>
      </c>
    </row>
    <row r="34">
      <c r="A34" t="n">
        <v>7</v>
      </c>
      <c r="B34" t="inlineStr">
        <is>
          <t>RRP_MS_KMEANS_VNS</t>
        </is>
      </c>
      <c r="C34" t="inlineStr">
        <is>
          <t>MS_KMeans_VNS</t>
        </is>
      </c>
      <c r="D34" t="n">
        <v>1000</v>
      </c>
      <c r="E34" t="n">
        <v>1024</v>
      </c>
      <c r="F34" s="3" t="n">
        <v>649.6523644835564</v>
      </c>
      <c r="G34" s="3" t="n">
        <v>4352.673656149635</v>
      </c>
      <c r="H34" s="3" t="n">
        <v>5.378433699996094</v>
      </c>
      <c r="I34" t="n">
        <v>127</v>
      </c>
      <c r="J34" t="n">
        <v>1016</v>
      </c>
      <c r="K34" t="n">
        <v>8</v>
      </c>
      <c r="L34" s="4" t="n">
        <v>0.9921875</v>
      </c>
      <c r="M34" s="3" t="n">
        <v>0.05474575062103757</v>
      </c>
      <c r="N34" s="3" t="n">
        <v>0.0026968543539483</v>
      </c>
      <c r="O34" s="3" t="n">
        <v>5.115372948689421</v>
      </c>
      <c r="P34" s="4" t="n">
        <v>0.7795275590551181</v>
      </c>
      <c r="Q34" t="n">
        <v>35</v>
      </c>
      <c r="R34" t="n">
        <v>36</v>
      </c>
      <c r="S34" t="n">
        <v>28</v>
      </c>
      <c r="T34" t="n">
        <v>28</v>
      </c>
      <c r="U34" t="n">
        <v>280</v>
      </c>
      <c r="V34" t="n">
        <v>288</v>
      </c>
      <c r="W34" t="n">
        <v>224</v>
      </c>
      <c r="X34" t="n">
        <v>224</v>
      </c>
      <c r="Y34" t="inlineStr">
        <is>
          <t>P1:35, P2:36, P3:28, P0:28</t>
        </is>
      </c>
      <c r="Z34" t="n">
        <v/>
      </c>
      <c r="AA34" t="n">
        <v/>
      </c>
      <c r="AB34" t="n">
        <v/>
      </c>
    </row>
    <row r="35">
      <c r="A35" t="n">
        <v>7</v>
      </c>
      <c r="B35" t="inlineStr">
        <is>
          <t>RRP_GA</t>
        </is>
      </c>
      <c r="C35" t="inlineStr">
        <is>
          <t>GA</t>
        </is>
      </c>
      <c r="D35" t="n">
        <v>1000</v>
      </c>
      <c r="E35" t="n">
        <v>1016</v>
      </c>
      <c r="F35" s="3" t="n">
        <v>632.5992705408642</v>
      </c>
      <c r="G35" s="3" t="n">
        <v>4363.10914880501</v>
      </c>
      <c r="H35" s="3" t="n">
        <v>5.774785200002952</v>
      </c>
      <c r="I35" t="n">
        <v>126</v>
      </c>
      <c r="J35" t="n">
        <v>1008</v>
      </c>
      <c r="K35" t="n">
        <v>8</v>
      </c>
      <c r="L35" s="4" t="n">
        <v>0.9921259842519685</v>
      </c>
      <c r="M35" s="3" t="n">
        <v>0.06360785065648079</v>
      </c>
      <c r="N35" s="3" t="n">
        <v>-0.004982818780943682</v>
      </c>
      <c r="O35" s="3" t="n">
        <v>5.020629131276699</v>
      </c>
      <c r="P35" s="4" t="n">
        <v>0.7857142857142857</v>
      </c>
      <c r="Q35" t="n">
        <v>33</v>
      </c>
      <c r="R35" t="n">
        <v>35</v>
      </c>
      <c r="S35" t="n">
        <v>31</v>
      </c>
      <c r="T35" t="n">
        <v>27</v>
      </c>
      <c r="U35" t="n">
        <v>264</v>
      </c>
      <c r="V35" t="n">
        <v>280</v>
      </c>
      <c r="W35" t="n">
        <v>248</v>
      </c>
      <c r="X35" t="n">
        <v>216</v>
      </c>
      <c r="Y35" t="inlineStr">
        <is>
          <t>P1:33, P2:35, P3:31, P0:27</t>
        </is>
      </c>
      <c r="Z35" t="n">
        <v/>
      </c>
      <c r="AA35" t="n">
        <v/>
      </c>
      <c r="AB35" t="n">
        <v/>
      </c>
    </row>
    <row r="36">
      <c r="A36" t="n">
        <v>7</v>
      </c>
      <c r="B36" t="inlineStr">
        <is>
          <t>RRP_SA</t>
        </is>
      </c>
      <c r="C36" t="inlineStr">
        <is>
          <t>SA</t>
        </is>
      </c>
      <c r="D36" t="n">
        <v>1000</v>
      </c>
      <c r="E36" t="n">
        <v>1008</v>
      </c>
      <c r="F36" s="3" t="n">
        <v>708.933749926415</v>
      </c>
      <c r="G36" s="3" t="n">
        <v>4872.746378777632</v>
      </c>
      <c r="H36" s="3" t="n">
        <v>3.205569800004014</v>
      </c>
      <c r="I36" t="n">
        <v>125</v>
      </c>
      <c r="J36" t="n">
        <v>1000</v>
      </c>
      <c r="K36" t="n">
        <v>8</v>
      </c>
      <c r="L36" s="4" t="n">
        <v>0.9920634920634921</v>
      </c>
      <c r="M36" s="3" t="n">
        <v>0.4906000117735973</v>
      </c>
      <c r="N36" s="3" t="n">
        <v>0.006878686028011895</v>
      </c>
      <c r="O36" s="3" t="n">
        <v>5.67146999941132</v>
      </c>
      <c r="P36" s="4" t="n">
        <v>0.872</v>
      </c>
      <c r="Q36" t="n">
        <v>43</v>
      </c>
      <c r="R36" t="n">
        <v>28</v>
      </c>
      <c r="S36" t="n">
        <v>38</v>
      </c>
      <c r="T36" t="n">
        <v>16</v>
      </c>
      <c r="U36" t="n">
        <v>344</v>
      </c>
      <c r="V36" t="n">
        <v>224</v>
      </c>
      <c r="W36" t="n">
        <v>304</v>
      </c>
      <c r="X36" t="n">
        <v>128</v>
      </c>
      <c r="Y36" t="inlineStr">
        <is>
          <t>P1:43, P2:28, P3:38, P0:16</t>
        </is>
      </c>
      <c r="Z36" t="n">
        <v/>
      </c>
      <c r="AA36" t="n">
        <v/>
      </c>
      <c r="AB36" t="n">
        <v/>
      </c>
    </row>
    <row r="37">
      <c r="A37" t="n">
        <v>8</v>
      </c>
      <c r="B37" t="inlineStr">
        <is>
          <t>RRP_KMEANS</t>
        </is>
      </c>
      <c r="C37" t="inlineStr">
        <is>
          <t>KMeans</t>
        </is>
      </c>
      <c r="D37" t="n">
        <v>1000</v>
      </c>
      <c r="E37" t="n">
        <v>1000</v>
      </c>
      <c r="F37" s="3" t="n">
        <v>613.686056744417</v>
      </c>
      <c r="G37" s="3" t="n">
        <v>4700.19235548495</v>
      </c>
      <c r="H37" s="3" t="n">
        <v>0.379021400003694</v>
      </c>
      <c r="I37" t="n">
        <v>124</v>
      </c>
      <c r="J37" t="n">
        <v>992</v>
      </c>
      <c r="K37" t="n">
        <v>8</v>
      </c>
      <c r="L37" s="4" t="n">
        <v>0.992</v>
      </c>
      <c r="M37" s="3" t="n">
        <v>0.05063600896498802</v>
      </c>
      <c r="N37" s="3" t="n">
        <v>0.03206568625366329</v>
      </c>
      <c r="O37" s="3" t="n">
        <v>4.949081102777557</v>
      </c>
      <c r="P37" s="4" t="n">
        <v>0.7741935483870968</v>
      </c>
      <c r="Q37" t="n">
        <v>32</v>
      </c>
      <c r="R37" t="n">
        <v>34</v>
      </c>
      <c r="S37" t="n">
        <v>30</v>
      </c>
      <c r="T37" t="n">
        <v>28</v>
      </c>
      <c r="U37" t="n">
        <v>256</v>
      </c>
      <c r="V37" t="n">
        <v>272</v>
      </c>
      <c r="W37" t="n">
        <v>240</v>
      </c>
      <c r="X37" t="n">
        <v>224</v>
      </c>
      <c r="Y37" t="inlineStr">
        <is>
          <t>P1:32, P2:34, P3:30, P0:28</t>
        </is>
      </c>
      <c r="Z37" t="n">
        <v/>
      </c>
      <c r="AA37" t="n">
        <v/>
      </c>
      <c r="AB37" t="n">
        <v/>
      </c>
    </row>
    <row r="38">
      <c r="A38" t="n">
        <v>8</v>
      </c>
      <c r="B38" t="inlineStr">
        <is>
          <t>RRP_KMEANS_VNS</t>
        </is>
      </c>
      <c r="C38" t="inlineStr">
        <is>
          <t>KMeans_VNS</t>
        </is>
      </c>
      <c r="D38" t="n">
        <v>1000</v>
      </c>
      <c r="E38" t="n">
        <v>1008</v>
      </c>
      <c r="F38" s="3" t="n">
        <v>637.7093113116975</v>
      </c>
      <c r="G38" s="3" t="n">
        <v>5044.840705878594</v>
      </c>
      <c r="H38" s="3" t="n">
        <v>7.388678299990715</v>
      </c>
      <c r="I38" t="n">
        <v>124</v>
      </c>
      <c r="J38" t="n">
        <v>992</v>
      </c>
      <c r="K38" t="n">
        <v>16</v>
      </c>
      <c r="L38" s="4" t="n">
        <v>0.9841269841269841</v>
      </c>
      <c r="M38" s="3" t="n">
        <v>0.04688527230683627</v>
      </c>
      <c r="N38" s="3" t="n">
        <v>0.03358048445459828</v>
      </c>
      <c r="O38" s="3" t="n">
        <v>5.142817026707238</v>
      </c>
      <c r="P38" s="4" t="n">
        <v>0.8225806451612904</v>
      </c>
      <c r="Q38" t="n">
        <v>32</v>
      </c>
      <c r="R38" t="n">
        <v>36</v>
      </c>
      <c r="S38" t="n">
        <v>34</v>
      </c>
      <c r="T38" t="n">
        <v>22</v>
      </c>
      <c r="U38" t="n">
        <v>256</v>
      </c>
      <c r="V38" t="n">
        <v>288</v>
      </c>
      <c r="W38" t="n">
        <v>272</v>
      </c>
      <c r="X38" t="n">
        <v>176</v>
      </c>
      <c r="Y38" t="inlineStr">
        <is>
          <t>P1:32, P2:36, P3:34, P0:22</t>
        </is>
      </c>
      <c r="Z38" t="n">
        <v/>
      </c>
      <c r="AA38" t="n">
        <v/>
      </c>
      <c r="AB38" t="n">
        <v/>
      </c>
    </row>
    <row r="39">
      <c r="A39" t="n">
        <v>8</v>
      </c>
      <c r="B39" t="inlineStr">
        <is>
          <t>RRP_MS_KMEANS_VNS</t>
        </is>
      </c>
      <c r="C39" t="inlineStr">
        <is>
          <t>MS_KMeans_VNS</t>
        </is>
      </c>
      <c r="D39" t="n">
        <v>1000</v>
      </c>
      <c r="E39" t="n">
        <v>1008</v>
      </c>
      <c r="F39" s="3" t="n">
        <v>636.6722253154054</v>
      </c>
      <c r="G39" s="3" t="n">
        <v>4989.34588146504</v>
      </c>
      <c r="H39" s="3" t="n">
        <v>5.198409699994954</v>
      </c>
      <c r="I39" t="n">
        <v>123</v>
      </c>
      <c r="J39" t="n">
        <v>984</v>
      </c>
      <c r="K39" t="n">
        <v>24</v>
      </c>
      <c r="L39" s="4" t="n">
        <v>0.9761904761904762</v>
      </c>
      <c r="M39" s="3" t="n">
        <v>0.05329669668203961</v>
      </c>
      <c r="N39" s="3" t="n">
        <v>0.02462857788774147</v>
      </c>
      <c r="O39" s="3" t="n">
        <v>5.176196953783784</v>
      </c>
      <c r="P39" s="4" t="n">
        <v>0.8130081300813008</v>
      </c>
      <c r="Q39" t="n">
        <v>34</v>
      </c>
      <c r="R39" t="n">
        <v>33</v>
      </c>
      <c r="S39" t="n">
        <v>33</v>
      </c>
      <c r="T39" t="n">
        <v>23</v>
      </c>
      <c r="U39" t="n">
        <v>272</v>
      </c>
      <c r="V39" t="n">
        <v>264</v>
      </c>
      <c r="W39" t="n">
        <v>264</v>
      </c>
      <c r="X39" t="n">
        <v>184</v>
      </c>
      <c r="Y39" t="inlineStr">
        <is>
          <t>P1:34, P2:33, P3:33, P0:23</t>
        </is>
      </c>
      <c r="Z39" t="n">
        <v/>
      </c>
      <c r="AA39" t="n">
        <v/>
      </c>
      <c r="AB39" t="n">
        <v/>
      </c>
    </row>
    <row r="40">
      <c r="A40" t="n">
        <v>8</v>
      </c>
      <c r="B40" t="inlineStr">
        <is>
          <t>RRP_GA</t>
        </is>
      </c>
      <c r="C40" t="inlineStr">
        <is>
          <t>GA</t>
        </is>
      </c>
      <c r="D40" t="n">
        <v>1000</v>
      </c>
      <c r="E40" t="n">
        <v>1008</v>
      </c>
      <c r="F40" s="3" t="n">
        <v>648.5754525308777</v>
      </c>
      <c r="G40" s="3" t="n">
        <v>5011.684601335887</v>
      </c>
      <c r="H40" s="3" t="n">
        <v>6.334364999987883</v>
      </c>
      <c r="I40" t="n">
        <v>124</v>
      </c>
      <c r="J40" t="n">
        <v>992</v>
      </c>
      <c r="K40" t="n">
        <v>16</v>
      </c>
      <c r="L40" s="4" t="n">
        <v>0.9841269841269841</v>
      </c>
      <c r="M40" s="3" t="n">
        <v>0.06847539824554133</v>
      </c>
      <c r="N40" s="3" t="n">
        <v>0.02538037483950116</v>
      </c>
      <c r="O40" s="3" t="n">
        <v>5.230447197829658</v>
      </c>
      <c r="P40" s="4" t="n">
        <v>0.8306451612903226</v>
      </c>
      <c r="Q40" t="n">
        <v>34</v>
      </c>
      <c r="R40" t="n">
        <v>34</v>
      </c>
      <c r="S40" t="n">
        <v>35</v>
      </c>
      <c r="T40" t="n">
        <v>21</v>
      </c>
      <c r="U40" t="n">
        <v>272</v>
      </c>
      <c r="V40" t="n">
        <v>272</v>
      </c>
      <c r="W40" t="n">
        <v>280</v>
      </c>
      <c r="X40" t="n">
        <v>168</v>
      </c>
      <c r="Y40" t="inlineStr">
        <is>
          <t>P1:34, P2:34, P3:35, P0:21</t>
        </is>
      </c>
      <c r="Z40" t="n">
        <v/>
      </c>
      <c r="AA40" t="n">
        <v/>
      </c>
      <c r="AB40" t="n">
        <v/>
      </c>
    </row>
    <row r="41">
      <c r="A41" t="n">
        <v>8</v>
      </c>
      <c r="B41" t="inlineStr">
        <is>
          <t>RRP_SA</t>
        </is>
      </c>
      <c r="C41" t="inlineStr">
        <is>
          <t>SA</t>
        </is>
      </c>
      <c r="D41" t="n">
        <v>1000</v>
      </c>
      <c r="E41" t="n">
        <v>1008</v>
      </c>
      <c r="F41" s="3" t="n">
        <v>729.8892709870552</v>
      </c>
      <c r="G41" s="3" t="n">
        <v>5602.635649764688</v>
      </c>
      <c r="H41" s="3" t="n">
        <v>3.355139300008886</v>
      </c>
      <c r="I41" t="n">
        <v>125</v>
      </c>
      <c r="J41" t="n">
        <v>1000</v>
      </c>
      <c r="K41" t="n">
        <v>8</v>
      </c>
      <c r="L41" s="4" t="n">
        <v>0.9920634920634921</v>
      </c>
      <c r="M41" s="3" t="n">
        <v>0.4977166420711588</v>
      </c>
      <c r="N41" s="3" t="n">
        <v>0.02583812538297062</v>
      </c>
      <c r="O41" s="3" t="n">
        <v>5.839114167896441</v>
      </c>
      <c r="P41" s="4" t="n">
        <v>0.888</v>
      </c>
      <c r="Q41" t="n">
        <v>43</v>
      </c>
      <c r="R41" t="n">
        <v>33</v>
      </c>
      <c r="S41" t="n">
        <v>35</v>
      </c>
      <c r="T41" t="n">
        <v>14</v>
      </c>
      <c r="U41" t="n">
        <v>344</v>
      </c>
      <c r="V41" t="n">
        <v>264</v>
      </c>
      <c r="W41" t="n">
        <v>280</v>
      </c>
      <c r="X41" t="n">
        <v>112</v>
      </c>
      <c r="Y41" t="inlineStr">
        <is>
          <t>P1:43, P2:33, P3:35, P0:14</t>
        </is>
      </c>
      <c r="Z41" t="n">
        <v/>
      </c>
      <c r="AA41" t="n">
        <v/>
      </c>
      <c r="AB41" t="n">
        <v/>
      </c>
    </row>
    <row r="42">
      <c r="A42" t="n">
        <v>9</v>
      </c>
      <c r="B42" t="inlineStr">
        <is>
          <t>RRP_KMEANS</t>
        </is>
      </c>
      <c r="C42" t="inlineStr">
        <is>
          <t>KMeans</t>
        </is>
      </c>
      <c r="D42" t="n">
        <v>1000</v>
      </c>
      <c r="E42" t="n">
        <v>1008</v>
      </c>
      <c r="F42" s="3" t="n">
        <v>555.6625752747015</v>
      </c>
      <c r="G42" s="3" t="n">
        <v>5255.854930759651</v>
      </c>
      <c r="H42" s="3" t="n">
        <v>0.1801581000036094</v>
      </c>
      <c r="I42" t="n">
        <v>122</v>
      </c>
      <c r="J42" t="n">
        <v>976</v>
      </c>
      <c r="K42" t="n">
        <v>32</v>
      </c>
      <c r="L42" s="4" t="n">
        <v>0.9682539682539683</v>
      </c>
      <c r="M42" s="3" t="n">
        <v>0.05531552873745649</v>
      </c>
      <c r="N42" s="3" t="n">
        <v>-0.04702187340490956</v>
      </c>
      <c r="O42" s="3" t="n">
        <v>4.554611272743455</v>
      </c>
      <c r="P42" s="4" t="n">
        <v>0.7540983606557377</v>
      </c>
      <c r="Q42" t="n">
        <v>28</v>
      </c>
      <c r="R42" t="n">
        <v>28</v>
      </c>
      <c r="S42" t="n">
        <v>36</v>
      </c>
      <c r="T42" t="n">
        <v>30</v>
      </c>
      <c r="U42" t="n">
        <v>224</v>
      </c>
      <c r="V42" t="n">
        <v>224</v>
      </c>
      <c r="W42" t="n">
        <v>288</v>
      </c>
      <c r="X42" t="n">
        <v>240</v>
      </c>
      <c r="Y42" t="inlineStr">
        <is>
          <t>P1:28, P2:28, P3:36, P0:30</t>
        </is>
      </c>
      <c r="Z42" t="n">
        <v/>
      </c>
      <c r="AA42" t="n">
        <v/>
      </c>
      <c r="AB42" t="n">
        <v/>
      </c>
    </row>
    <row r="43">
      <c r="A43" t="n">
        <v>9</v>
      </c>
      <c r="B43" t="inlineStr">
        <is>
          <t>RRP_KMEANS_VNS</t>
        </is>
      </c>
      <c r="C43" t="inlineStr">
        <is>
          <t>KMeans_VNS</t>
        </is>
      </c>
      <c r="D43" t="n">
        <v>1000</v>
      </c>
      <c r="E43" t="n">
        <v>1016</v>
      </c>
      <c r="F43" s="3" t="n">
        <v>626.5431890105501</v>
      </c>
      <c r="G43" s="3" t="n">
        <v>5671.383894889144</v>
      </c>
      <c r="H43" s="3" t="n">
        <v>8.908442400002968</v>
      </c>
      <c r="I43" t="n">
        <v>125</v>
      </c>
      <c r="J43" t="n">
        <v>1000</v>
      </c>
      <c r="K43" t="n">
        <v>16</v>
      </c>
      <c r="L43" s="4" t="n">
        <v>0.984251968503937</v>
      </c>
      <c r="M43" s="3" t="n">
        <v>0.07308975831197551</v>
      </c>
      <c r="N43" s="3" t="n">
        <v>-0.03299202629415436</v>
      </c>
      <c r="O43" s="3" t="n">
        <v>5.012345512084401</v>
      </c>
      <c r="P43" s="4" t="n">
        <v>0.832</v>
      </c>
      <c r="Q43" t="n">
        <v>30</v>
      </c>
      <c r="R43" t="n">
        <v>35</v>
      </c>
      <c r="S43" t="n">
        <v>39</v>
      </c>
      <c r="T43" t="n">
        <v>21</v>
      </c>
      <c r="U43" t="n">
        <v>240</v>
      </c>
      <c r="V43" t="n">
        <v>280</v>
      </c>
      <c r="W43" t="n">
        <v>312</v>
      </c>
      <c r="X43" t="n">
        <v>168</v>
      </c>
      <c r="Y43" t="inlineStr">
        <is>
          <t>P1:30, P2:35, P3:39, P0:21</t>
        </is>
      </c>
      <c r="Z43" t="n">
        <v/>
      </c>
      <c r="AA43" t="n">
        <v/>
      </c>
      <c r="AB43" t="n">
        <v/>
      </c>
    </row>
    <row r="44">
      <c r="A44" t="n">
        <v>9</v>
      </c>
      <c r="B44" t="inlineStr">
        <is>
          <t>RRP_MS_KMEANS_VNS</t>
        </is>
      </c>
      <c r="C44" t="inlineStr">
        <is>
          <t>MS_KMeans_VNS</t>
        </is>
      </c>
      <c r="D44" t="n">
        <v>1000</v>
      </c>
      <c r="E44" t="n">
        <v>1024</v>
      </c>
      <c r="F44" s="3" t="n">
        <v>618.6708035505111</v>
      </c>
      <c r="G44" s="3" t="n">
        <v>5608.016685015551</v>
      </c>
      <c r="H44" s="3" t="n">
        <v>4.812414400003036</v>
      </c>
      <c r="I44" t="n">
        <v>125</v>
      </c>
      <c r="J44" t="n">
        <v>1000</v>
      </c>
      <c r="K44" t="n">
        <v>24</v>
      </c>
      <c r="L44" s="4" t="n">
        <v>0.9765625</v>
      </c>
      <c r="M44" s="3" t="n">
        <v>0.05267143191820962</v>
      </c>
      <c r="N44" s="3" t="n">
        <v>-0.02217989280235465</v>
      </c>
      <c r="O44" s="3" t="n">
        <v>4.949366428404089</v>
      </c>
      <c r="P44" s="4" t="n">
        <v>0.8080000000000001</v>
      </c>
      <c r="Q44" t="n">
        <v>31</v>
      </c>
      <c r="R44" t="n">
        <v>33</v>
      </c>
      <c r="S44" t="n">
        <v>37</v>
      </c>
      <c r="T44" t="n">
        <v>24</v>
      </c>
      <c r="U44" t="n">
        <v>248</v>
      </c>
      <c r="V44" t="n">
        <v>264</v>
      </c>
      <c r="W44" t="n">
        <v>296</v>
      </c>
      <c r="X44" t="n">
        <v>192</v>
      </c>
      <c r="Y44" t="inlineStr">
        <is>
          <t>P1:31, P2:33, P3:37, P0:24</t>
        </is>
      </c>
      <c r="Z44" t="n">
        <v/>
      </c>
      <c r="AA44" t="n">
        <v/>
      </c>
      <c r="AB44" t="n">
        <v/>
      </c>
    </row>
    <row r="45">
      <c r="A45" t="n">
        <v>9</v>
      </c>
      <c r="B45" t="inlineStr">
        <is>
          <t>RRP_GA</t>
        </is>
      </c>
      <c r="C45" t="inlineStr">
        <is>
          <t>GA</t>
        </is>
      </c>
      <c r="D45" t="n">
        <v>1000</v>
      </c>
      <c r="E45" t="n">
        <v>1016</v>
      </c>
      <c r="F45" s="3" t="n">
        <v>628.6637578634649</v>
      </c>
      <c r="G45" s="3" t="n">
        <v>5640.348359199352</v>
      </c>
      <c r="H45" s="3" t="n">
        <v>5.876912200008519</v>
      </c>
      <c r="I45" t="n">
        <v>125</v>
      </c>
      <c r="J45" t="n">
        <v>1000</v>
      </c>
      <c r="K45" t="n">
        <v>16</v>
      </c>
      <c r="L45" s="4" t="n">
        <v>0.984251968503937</v>
      </c>
      <c r="M45" s="3" t="n">
        <v>0.05379874184559845</v>
      </c>
      <c r="N45" s="3" t="n">
        <v>-0.01397469802987405</v>
      </c>
      <c r="O45" s="3" t="n">
        <v>5.029310062907719</v>
      </c>
      <c r="P45" s="4" t="n">
        <v>0.8159999999999999</v>
      </c>
      <c r="Q45" t="n">
        <v>32</v>
      </c>
      <c r="R45" t="n">
        <v>33</v>
      </c>
      <c r="S45" t="n">
        <v>37</v>
      </c>
      <c r="T45" t="n">
        <v>23</v>
      </c>
      <c r="U45" t="n">
        <v>256</v>
      </c>
      <c r="V45" t="n">
        <v>264</v>
      </c>
      <c r="W45" t="n">
        <v>296</v>
      </c>
      <c r="X45" t="n">
        <v>184</v>
      </c>
      <c r="Y45" t="inlineStr">
        <is>
          <t>P1:32, P2:33, P3:37, P0:23</t>
        </is>
      </c>
      <c r="Z45" t="n">
        <v/>
      </c>
      <c r="AA45" t="n">
        <v/>
      </c>
      <c r="AB45" t="n">
        <v/>
      </c>
    </row>
    <row r="46">
      <c r="A46" t="n">
        <v>9</v>
      </c>
      <c r="B46" t="inlineStr">
        <is>
          <t>RRP_SA</t>
        </is>
      </c>
      <c r="C46" t="inlineStr">
        <is>
          <t>SA</t>
        </is>
      </c>
      <c r="D46" t="n">
        <v>1000</v>
      </c>
      <c r="E46" t="n">
        <v>1008</v>
      </c>
      <c r="F46" s="3" t="n">
        <v>677.0570330410092</v>
      </c>
      <c r="G46" s="3" t="n">
        <v>6279.692682805697</v>
      </c>
      <c r="H46" s="3" t="n">
        <v>2.908039000001736</v>
      </c>
      <c r="I46" t="n">
        <v>125</v>
      </c>
      <c r="J46" t="n">
        <v>1000</v>
      </c>
      <c r="K46" t="n">
        <v>8</v>
      </c>
      <c r="L46" s="4" t="n">
        <v>0.9920634920634921</v>
      </c>
      <c r="M46" s="3" t="n">
        <v>0.470874713438544</v>
      </c>
      <c r="N46" s="3" t="n">
        <v>-0.02419651858312304</v>
      </c>
      <c r="O46" s="3" t="n">
        <v>5.416456264328073</v>
      </c>
      <c r="P46" s="4" t="n">
        <v>0.88</v>
      </c>
      <c r="Q46" t="n">
        <v>32</v>
      </c>
      <c r="R46" t="n">
        <v>42</v>
      </c>
      <c r="S46" t="n">
        <v>36</v>
      </c>
      <c r="T46" t="n">
        <v>15</v>
      </c>
      <c r="U46" t="n">
        <v>256</v>
      </c>
      <c r="V46" t="n">
        <v>336</v>
      </c>
      <c r="W46" t="n">
        <v>288</v>
      </c>
      <c r="X46" t="n">
        <v>120</v>
      </c>
      <c r="Y46" t="inlineStr">
        <is>
          <t>P1:32, P2:42, P3:36, P0:15</t>
        </is>
      </c>
      <c r="Z46" t="n">
        <v/>
      </c>
      <c r="AA46" t="n">
        <v/>
      </c>
      <c r="AB46" t="n">
        <v/>
      </c>
    </row>
    <row r="47">
      <c r="A47" t="n">
        <v>10</v>
      </c>
      <c r="B47" t="inlineStr">
        <is>
          <t>RRP_KMEANS</t>
        </is>
      </c>
      <c r="C47" t="inlineStr">
        <is>
          <t>KMeans</t>
        </is>
      </c>
      <c r="D47" t="n">
        <v>1000</v>
      </c>
      <c r="E47" t="n">
        <v>1032</v>
      </c>
      <c r="F47" s="3" t="n">
        <v>631.5877856793645</v>
      </c>
      <c r="G47" s="3" t="n">
        <v>5887.442716439016</v>
      </c>
      <c r="H47" s="3" t="n">
        <v>0.4426686000078917</v>
      </c>
      <c r="I47" t="n">
        <v>129</v>
      </c>
      <c r="J47" t="n">
        <v>1032</v>
      </c>
      <c r="K47" t="n">
        <v>0</v>
      </c>
      <c r="L47" s="4" t="n">
        <v>1</v>
      </c>
      <c r="M47" s="3" t="n">
        <v>0.06390919699775663</v>
      </c>
      <c r="N47" s="3" t="n">
        <v>0.03459263308323126</v>
      </c>
      <c r="O47" s="3" t="n">
        <v>4.896029346351663</v>
      </c>
      <c r="P47" s="4" t="n">
        <v>0.7751937984496124</v>
      </c>
      <c r="Q47" t="n">
        <v>32</v>
      </c>
      <c r="R47" t="n">
        <v>36</v>
      </c>
      <c r="S47" t="n">
        <v>32</v>
      </c>
      <c r="T47" t="n">
        <v>29</v>
      </c>
      <c r="U47" t="n">
        <v>256</v>
      </c>
      <c r="V47" t="n">
        <v>288</v>
      </c>
      <c r="W47" t="n">
        <v>256</v>
      </c>
      <c r="X47" t="n">
        <v>232</v>
      </c>
      <c r="Y47" t="inlineStr">
        <is>
          <t>P1:32, P2:36, P3:32, P0:29</t>
        </is>
      </c>
      <c r="Z47" t="n">
        <v/>
      </c>
      <c r="AA47" t="n">
        <v/>
      </c>
      <c r="AB47" t="n">
        <v/>
      </c>
    </row>
    <row r="48">
      <c r="A48" t="n">
        <v>10</v>
      </c>
      <c r="B48" t="inlineStr">
        <is>
          <t>RRP_KMEANS_VNS</t>
        </is>
      </c>
      <c r="C48" t="inlineStr">
        <is>
          <t>KMeans_VNS</t>
        </is>
      </c>
      <c r="D48" t="n">
        <v>1000</v>
      </c>
      <c r="E48" t="n">
        <v>1016</v>
      </c>
      <c r="F48" s="3" t="n">
        <v>652.5427330188697</v>
      </c>
      <c r="G48" s="3" t="n">
        <v>6323.926627908014</v>
      </c>
      <c r="H48" s="3" t="n">
        <v>8.057991099994979</v>
      </c>
      <c r="I48" t="n">
        <v>124</v>
      </c>
      <c r="J48" t="n">
        <v>992</v>
      </c>
      <c r="K48" t="n">
        <v>24</v>
      </c>
      <c r="L48" s="4" t="n">
        <v>0.9763779527559056</v>
      </c>
      <c r="M48" s="3" t="n">
        <v>0.07375273889197898</v>
      </c>
      <c r="N48" s="3" t="n">
        <v>0.02701088955052365</v>
      </c>
      <c r="O48" s="3" t="n">
        <v>5.262441395313465</v>
      </c>
      <c r="P48" s="4" t="n">
        <v>0.8467741935483871</v>
      </c>
      <c r="Q48" t="n">
        <v>35</v>
      </c>
      <c r="R48" t="n">
        <v>31</v>
      </c>
      <c r="S48" t="n">
        <v>39</v>
      </c>
      <c r="T48" t="n">
        <v>19</v>
      </c>
      <c r="U48" t="n">
        <v>280</v>
      </c>
      <c r="V48" t="n">
        <v>248</v>
      </c>
      <c r="W48" t="n">
        <v>312</v>
      </c>
      <c r="X48" t="n">
        <v>152</v>
      </c>
      <c r="Y48" t="inlineStr">
        <is>
          <t>P1:35, P2:31, P3:39, P0:19</t>
        </is>
      </c>
      <c r="Z48" t="n">
        <v/>
      </c>
      <c r="AA48" t="n">
        <v/>
      </c>
      <c r="AB48" t="n">
        <v/>
      </c>
    </row>
    <row r="49">
      <c r="A49" t="n">
        <v>10</v>
      </c>
      <c r="B49" t="inlineStr">
        <is>
          <t>RRP_MS_KMEANS_VNS</t>
        </is>
      </c>
      <c r="C49" t="inlineStr">
        <is>
          <t>MS_KMeans_VNS</t>
        </is>
      </c>
      <c r="D49" t="n">
        <v>1000</v>
      </c>
      <c r="E49" t="n">
        <v>1024</v>
      </c>
      <c r="F49" s="3" t="n">
        <v>651.6973500148318</v>
      </c>
      <c r="G49" s="3" t="n">
        <v>6259.714035030383</v>
      </c>
      <c r="H49" s="3" t="n">
        <v>5.26361850000103</v>
      </c>
      <c r="I49" t="n">
        <v>125</v>
      </c>
      <c r="J49" t="n">
        <v>1000</v>
      </c>
      <c r="K49" t="n">
        <v>24</v>
      </c>
      <c r="L49" s="4" t="n">
        <v>0.9765625</v>
      </c>
      <c r="M49" s="3" t="n">
        <v>0.04842399762694015</v>
      </c>
      <c r="N49" s="3" t="n">
        <v>0.01248911814316613</v>
      </c>
      <c r="O49" s="3" t="n">
        <v>5.213578800118655</v>
      </c>
      <c r="P49" s="4" t="n">
        <v>0.824</v>
      </c>
      <c r="Q49" t="n">
        <v>34</v>
      </c>
      <c r="R49" t="n">
        <v>35</v>
      </c>
      <c r="S49" t="n">
        <v>34</v>
      </c>
      <c r="T49" t="n">
        <v>22</v>
      </c>
      <c r="U49" t="n">
        <v>272</v>
      </c>
      <c r="V49" t="n">
        <v>280</v>
      </c>
      <c r="W49" t="n">
        <v>272</v>
      </c>
      <c r="X49" t="n">
        <v>176</v>
      </c>
      <c r="Y49" t="inlineStr">
        <is>
          <t>P1:34, P2:35, P3:34, P0:22</t>
        </is>
      </c>
      <c r="Z49" t="n">
        <v/>
      </c>
      <c r="AA49" t="n">
        <v/>
      </c>
      <c r="AB49" t="n">
        <v/>
      </c>
    </row>
    <row r="50">
      <c r="A50" t="n">
        <v>10</v>
      </c>
      <c r="B50" t="inlineStr">
        <is>
          <t>RRP_GA</t>
        </is>
      </c>
      <c r="C50" t="inlineStr">
        <is>
          <t>GA</t>
        </is>
      </c>
      <c r="D50" t="n">
        <v>1000</v>
      </c>
      <c r="E50" t="n">
        <v>1016</v>
      </c>
      <c r="F50" s="3" t="n">
        <v>657.5109178282955</v>
      </c>
      <c r="G50" s="3" t="n">
        <v>6297.859277027647</v>
      </c>
      <c r="H50" s="3" t="n">
        <v>7.959804700003588</v>
      </c>
      <c r="I50" t="n">
        <v>124</v>
      </c>
      <c r="J50" t="n">
        <v>992</v>
      </c>
      <c r="K50" t="n">
        <v>24</v>
      </c>
      <c r="L50" s="4" t="n">
        <v>0.9763779527559056</v>
      </c>
      <c r="M50" s="3" t="n">
        <v>0.0788842212426447</v>
      </c>
      <c r="N50" s="3" t="n">
        <v>0.02216661837366513</v>
      </c>
      <c r="O50" s="3" t="n">
        <v>5.302507401841093</v>
      </c>
      <c r="P50" s="4" t="n">
        <v>0.8467741935483871</v>
      </c>
      <c r="Q50" t="n">
        <v>34</v>
      </c>
      <c r="R50" t="n">
        <v>35</v>
      </c>
      <c r="S50" t="n">
        <v>36</v>
      </c>
      <c r="T50" t="n">
        <v>19</v>
      </c>
      <c r="U50" t="n">
        <v>272</v>
      </c>
      <c r="V50" t="n">
        <v>280</v>
      </c>
      <c r="W50" t="n">
        <v>288</v>
      </c>
      <c r="X50" t="n">
        <v>152</v>
      </c>
      <c r="Y50" t="inlineStr">
        <is>
          <t>P1:34, P2:35, P3:36, P0:19</t>
        </is>
      </c>
      <c r="Z50" t="n">
        <v/>
      </c>
      <c r="AA50" t="n">
        <v/>
      </c>
      <c r="AB50" t="n">
        <v/>
      </c>
    </row>
    <row r="51">
      <c r="A51" t="n">
        <v>10</v>
      </c>
      <c r="B51" t="inlineStr">
        <is>
          <t>RRP_SA</t>
        </is>
      </c>
      <c r="C51" t="inlineStr">
        <is>
          <t>SA</t>
        </is>
      </c>
      <c r="D51" t="n">
        <v>1000</v>
      </c>
      <c r="E51" t="n">
        <v>1008</v>
      </c>
      <c r="F51" s="3" t="n">
        <v>732.1624740250002</v>
      </c>
      <c r="G51" s="3" t="n">
        <v>7011.855156830697</v>
      </c>
      <c r="H51" s="3" t="n">
        <v>3.148086300003342</v>
      </c>
      <c r="I51" t="n">
        <v>124</v>
      </c>
      <c r="J51" t="n">
        <v>992</v>
      </c>
      <c r="K51" t="n">
        <v>16</v>
      </c>
      <c r="L51" s="4" t="n">
        <v>0.9841269841269841</v>
      </c>
      <c r="M51" s="3" t="n">
        <v>0.4576654798386729</v>
      </c>
      <c r="N51" s="3" t="n">
        <v>0.03002939621728423</v>
      </c>
      <c r="O51" s="3" t="n">
        <v>5.904536080846776</v>
      </c>
      <c r="P51" s="4" t="n">
        <v>0.8870967741935484</v>
      </c>
      <c r="Q51" t="n">
        <v>39</v>
      </c>
      <c r="R51" t="n">
        <v>44</v>
      </c>
      <c r="S51" t="n">
        <v>27</v>
      </c>
      <c r="T51" t="n">
        <v>14</v>
      </c>
      <c r="U51" t="n">
        <v>312</v>
      </c>
      <c r="V51" t="n">
        <v>352</v>
      </c>
      <c r="W51" t="n">
        <v>216</v>
      </c>
      <c r="X51" t="n">
        <v>112</v>
      </c>
      <c r="Y51" t="inlineStr">
        <is>
          <t>P1:39, P2:44, P3:27, P0:14</t>
        </is>
      </c>
      <c r="Z51" t="n">
        <v/>
      </c>
      <c r="AA51" t="n">
        <v/>
      </c>
      <c r="AB51" t="n">
        <v/>
      </c>
    </row>
    <row r="52">
      <c r="A52" t="n">
        <v>11</v>
      </c>
      <c r="B52" t="inlineStr">
        <is>
          <t>RRP_KMEANS</t>
        </is>
      </c>
      <c r="C52" t="inlineStr">
        <is>
          <t>KMeans</t>
        </is>
      </c>
      <c r="D52" t="n">
        <v>1000</v>
      </c>
      <c r="E52" t="n">
        <v>1000</v>
      </c>
      <c r="F52" s="3" t="n">
        <v>584.6454673698616</v>
      </c>
      <c r="G52" s="3" t="n">
        <v>6472.088183808878</v>
      </c>
      <c r="H52" s="3" t="n">
        <v>0.2776796000107424</v>
      </c>
      <c r="I52" t="n">
        <v>124</v>
      </c>
      <c r="J52" t="n">
        <v>992</v>
      </c>
      <c r="K52" t="n">
        <v>8</v>
      </c>
      <c r="L52" s="4" t="n">
        <v>0.992</v>
      </c>
      <c r="M52" s="3" t="n">
        <v>0.05718268228037344</v>
      </c>
      <c r="N52" s="3" t="n">
        <v>-0.02691316780248685</v>
      </c>
      <c r="O52" s="3" t="n">
        <v>4.714882801369852</v>
      </c>
      <c r="P52" s="4" t="n">
        <v>0.7580645161290323</v>
      </c>
      <c r="Q52" t="n">
        <v>30</v>
      </c>
      <c r="R52" t="n">
        <v>31</v>
      </c>
      <c r="S52" t="n">
        <v>33</v>
      </c>
      <c r="T52" t="n">
        <v>30</v>
      </c>
      <c r="U52" t="n">
        <v>240</v>
      </c>
      <c r="V52" t="n">
        <v>248</v>
      </c>
      <c r="W52" t="n">
        <v>264</v>
      </c>
      <c r="X52" t="n">
        <v>240</v>
      </c>
      <c r="Y52" t="inlineStr">
        <is>
          <t>P1:30, P2:31, P3:33, P0:30</t>
        </is>
      </c>
      <c r="Z52" t="n">
        <v/>
      </c>
      <c r="AA52" t="n">
        <v/>
      </c>
      <c r="AB52" t="n">
        <v/>
      </c>
    </row>
    <row r="53">
      <c r="A53" t="n">
        <v>11</v>
      </c>
      <c r="B53" t="inlineStr">
        <is>
          <t>RRP_KMEANS_VNS</t>
        </is>
      </c>
      <c r="C53" t="inlineStr">
        <is>
          <t>KMeans_VNS</t>
        </is>
      </c>
      <c r="D53" t="n">
        <v>1000</v>
      </c>
      <c r="E53" t="n">
        <v>1024</v>
      </c>
      <c r="F53" s="3" t="n">
        <v>620.6157388768681</v>
      </c>
      <c r="G53" s="3" t="n">
        <v>6944.542366784882</v>
      </c>
      <c r="H53" s="3" t="n">
        <v>8.650003499991726</v>
      </c>
      <c r="I53" t="n">
        <v>126</v>
      </c>
      <c r="J53" t="n">
        <v>1008</v>
      </c>
      <c r="K53" t="n">
        <v>16</v>
      </c>
      <c r="L53" s="4" t="n">
        <v>0.984375</v>
      </c>
      <c r="M53" s="3" t="n">
        <v>0.06099382906854531</v>
      </c>
      <c r="N53" s="3" t="n">
        <v>-0.04525957595452661</v>
      </c>
      <c r="O53" s="3" t="n">
        <v>4.925521737118001</v>
      </c>
      <c r="P53" s="4" t="n">
        <v>0.8015873015873016</v>
      </c>
      <c r="Q53" t="n">
        <v>30</v>
      </c>
      <c r="R53" t="n">
        <v>36</v>
      </c>
      <c r="S53" t="n">
        <v>35</v>
      </c>
      <c r="T53" t="n">
        <v>25</v>
      </c>
      <c r="U53" t="n">
        <v>240</v>
      </c>
      <c r="V53" t="n">
        <v>288</v>
      </c>
      <c r="W53" t="n">
        <v>280</v>
      </c>
      <c r="X53" t="n">
        <v>200</v>
      </c>
      <c r="Y53" t="inlineStr">
        <is>
          <t>P1:30, P2:36, P3:35, P0:25</t>
        </is>
      </c>
      <c r="Z53" t="n">
        <v/>
      </c>
      <c r="AA53" t="n">
        <v/>
      </c>
      <c r="AB53" t="n">
        <v/>
      </c>
    </row>
    <row r="54">
      <c r="A54" t="n">
        <v>11</v>
      </c>
      <c r="B54" t="inlineStr">
        <is>
          <t>RRP_MS_KMEANS_VNS</t>
        </is>
      </c>
      <c r="C54" t="inlineStr">
        <is>
          <t>MS_KMeans_VNS</t>
        </is>
      </c>
      <c r="D54" t="n">
        <v>1000</v>
      </c>
      <c r="E54" t="n">
        <v>1024</v>
      </c>
      <c r="F54" s="3" t="n">
        <v>624.6621363163545</v>
      </c>
      <c r="G54" s="3" t="n">
        <v>6884.376171346737</v>
      </c>
      <c r="H54" s="3" t="n">
        <v>5.069566299993312</v>
      </c>
      <c r="I54" t="n">
        <v>127</v>
      </c>
      <c r="J54" t="n">
        <v>1016</v>
      </c>
      <c r="K54" t="n">
        <v>8</v>
      </c>
      <c r="L54" s="4" t="n">
        <v>0.9921875</v>
      </c>
      <c r="M54" s="3" t="n">
        <v>0.05320687931426974</v>
      </c>
      <c r="N54" s="3" t="n">
        <v>-0.04489165961658011</v>
      </c>
      <c r="O54" s="3" t="n">
        <v>4.918599498553972</v>
      </c>
      <c r="P54" s="4" t="n">
        <v>0.8031496062992126</v>
      </c>
      <c r="Q54" t="n">
        <v>31</v>
      </c>
      <c r="R54" t="n">
        <v>34</v>
      </c>
      <c r="S54" t="n">
        <v>37</v>
      </c>
      <c r="T54" t="n">
        <v>25</v>
      </c>
      <c r="U54" t="n">
        <v>248</v>
      </c>
      <c r="V54" t="n">
        <v>272</v>
      </c>
      <c r="W54" t="n">
        <v>296</v>
      </c>
      <c r="X54" t="n">
        <v>200</v>
      </c>
      <c r="Y54" t="inlineStr">
        <is>
          <t>P1:31, P2:34, P3:37, P0:25</t>
        </is>
      </c>
      <c r="Z54" t="n">
        <v/>
      </c>
      <c r="AA54" t="n">
        <v/>
      </c>
      <c r="AB54" t="n">
        <v/>
      </c>
    </row>
    <row r="55">
      <c r="A55" t="n">
        <v>11</v>
      </c>
      <c r="B55" t="inlineStr">
        <is>
          <t>RRP_GA</t>
        </is>
      </c>
      <c r="C55" t="inlineStr">
        <is>
          <t>GA</t>
        </is>
      </c>
      <c r="D55" t="n">
        <v>1000</v>
      </c>
      <c r="E55" t="n">
        <v>1024</v>
      </c>
      <c r="F55" s="3" t="n">
        <v>633.4712469743025</v>
      </c>
      <c r="G55" s="3" t="n">
        <v>6931.33052400195</v>
      </c>
      <c r="H55" s="3" t="n">
        <v>5.951507399993716</v>
      </c>
      <c r="I55" t="n">
        <v>127</v>
      </c>
      <c r="J55" t="n">
        <v>1016</v>
      </c>
      <c r="K55" t="n">
        <v>8</v>
      </c>
      <c r="L55" s="4" t="n">
        <v>0.9921875</v>
      </c>
      <c r="M55" s="3" t="n">
        <v>0.08326819302323987</v>
      </c>
      <c r="N55" s="3" t="n">
        <v>-0.03681517259489609</v>
      </c>
      <c r="O55" s="3" t="n">
        <v>4.987962574600807</v>
      </c>
      <c r="P55" s="4" t="n">
        <v>0.8031496062992126</v>
      </c>
      <c r="Q55" t="n">
        <v>31</v>
      </c>
      <c r="R55" t="n">
        <v>37</v>
      </c>
      <c r="S55" t="n">
        <v>34</v>
      </c>
      <c r="T55" t="n">
        <v>25</v>
      </c>
      <c r="U55" t="n">
        <v>248</v>
      </c>
      <c r="V55" t="n">
        <v>296</v>
      </c>
      <c r="W55" t="n">
        <v>272</v>
      </c>
      <c r="X55" t="n">
        <v>200</v>
      </c>
      <c r="Y55" t="inlineStr">
        <is>
          <t>P1:31, P2:37, P3:34, P0:25</t>
        </is>
      </c>
      <c r="Z55" t="n">
        <v/>
      </c>
      <c r="AA55" t="n">
        <v/>
      </c>
      <c r="AB55" t="n">
        <v/>
      </c>
    </row>
    <row r="56">
      <c r="A56" t="n">
        <v>11</v>
      </c>
      <c r="B56" t="inlineStr">
        <is>
          <t>RRP_SA</t>
        </is>
      </c>
      <c r="C56" t="inlineStr">
        <is>
          <t>SA</t>
        </is>
      </c>
      <c r="D56" t="n">
        <v>1000</v>
      </c>
      <c r="E56" t="n">
        <v>1016</v>
      </c>
      <c r="F56" s="3" t="n">
        <v>688.0872189303745</v>
      </c>
      <c r="G56" s="3" t="n">
        <v>7699.942375761071</v>
      </c>
      <c r="H56" s="3" t="n">
        <v>2.936112000010326</v>
      </c>
      <c r="I56" t="n">
        <v>126</v>
      </c>
      <c r="J56" t="n">
        <v>1008</v>
      </c>
      <c r="K56" t="n">
        <v>8</v>
      </c>
      <c r="L56" s="4" t="n">
        <v>0.9921259842519685</v>
      </c>
      <c r="M56" s="3" t="n">
        <v>0.4623462015278439</v>
      </c>
      <c r="N56" s="3" t="n">
        <v>-0.03006419506968354</v>
      </c>
      <c r="O56" s="3" t="n">
        <v>5.461009674050592</v>
      </c>
      <c r="P56" s="4" t="n">
        <v>0.8650793650793651</v>
      </c>
      <c r="Q56" t="n">
        <v>37</v>
      </c>
      <c r="R56" t="n">
        <v>35</v>
      </c>
      <c r="S56" t="n">
        <v>37</v>
      </c>
      <c r="T56" t="n">
        <v>17</v>
      </c>
      <c r="U56" t="n">
        <v>296</v>
      </c>
      <c r="V56" t="n">
        <v>280</v>
      </c>
      <c r="W56" t="n">
        <v>296</v>
      </c>
      <c r="X56" t="n">
        <v>136</v>
      </c>
      <c r="Y56" t="inlineStr">
        <is>
          <t>P1:37, P2:35, P3:37, P0:17</t>
        </is>
      </c>
      <c r="Z56" t="n">
        <v/>
      </c>
      <c r="AA56" t="n">
        <v/>
      </c>
      <c r="AB56" t="n">
        <v/>
      </c>
    </row>
    <row r="57">
      <c r="A57" t="n">
        <v>12</v>
      </c>
      <c r="B57" t="inlineStr">
        <is>
          <t>RRP_KMEANS</t>
        </is>
      </c>
      <c r="C57" t="inlineStr">
        <is>
          <t>KMeans</t>
        </is>
      </c>
      <c r="D57" t="n">
        <v>1000</v>
      </c>
      <c r="E57" t="n">
        <v>1008</v>
      </c>
      <c r="F57" s="3" t="n">
        <v>595.7288045407237</v>
      </c>
      <c r="G57" s="3" t="n">
        <v>7067.816988349602</v>
      </c>
      <c r="H57" s="3" t="n">
        <v>0.2681448000075761</v>
      </c>
      <c r="I57" t="n">
        <v>125</v>
      </c>
      <c r="J57" t="n">
        <v>1000</v>
      </c>
      <c r="K57" t="n">
        <v>8</v>
      </c>
      <c r="L57" s="4" t="n">
        <v>0.9920634920634921</v>
      </c>
      <c r="M57" s="3" t="n">
        <v>0.04339127348421829</v>
      </c>
      <c r="N57" s="3" t="n">
        <v>0.01973734341346156</v>
      </c>
      <c r="O57" s="3" t="n">
        <v>4.765830436325789</v>
      </c>
      <c r="P57" s="4" t="n">
        <v>0.776</v>
      </c>
      <c r="Q57" t="n">
        <v>29</v>
      </c>
      <c r="R57" t="n">
        <v>34</v>
      </c>
      <c r="S57" t="n">
        <v>34</v>
      </c>
      <c r="T57" t="n">
        <v>28</v>
      </c>
      <c r="U57" t="n">
        <v>232</v>
      </c>
      <c r="V57" t="n">
        <v>272</v>
      </c>
      <c r="W57" t="n">
        <v>272</v>
      </c>
      <c r="X57" t="n">
        <v>224</v>
      </c>
      <c r="Y57" t="inlineStr">
        <is>
          <t>P1:29, P2:34, P3:34, P0:28</t>
        </is>
      </c>
      <c r="Z57" t="n">
        <v/>
      </c>
      <c r="AA57" t="n">
        <v/>
      </c>
      <c r="AB57" t="n">
        <v/>
      </c>
    </row>
    <row r="58">
      <c r="A58" t="n">
        <v>12</v>
      </c>
      <c r="B58" t="inlineStr">
        <is>
          <t>RRP_KMEANS_VNS</t>
        </is>
      </c>
      <c r="C58" t="inlineStr">
        <is>
          <t>KMeans_VNS</t>
        </is>
      </c>
      <c r="D58" t="n">
        <v>1000</v>
      </c>
      <c r="E58" t="n">
        <v>1016</v>
      </c>
      <c r="F58" s="3" t="n">
        <v>641.6095313776268</v>
      </c>
      <c r="G58" s="3" t="n">
        <v>7586.151898162509</v>
      </c>
      <c r="H58" s="3" t="n">
        <v>7.148758600000292</v>
      </c>
      <c r="I58" t="n">
        <v>126</v>
      </c>
      <c r="J58" t="n">
        <v>1008</v>
      </c>
      <c r="K58" t="n">
        <v>8</v>
      </c>
      <c r="L58" s="4" t="n">
        <v>0.9921259842519685</v>
      </c>
      <c r="M58" s="3" t="n">
        <v>0.06197914640847093</v>
      </c>
      <c r="N58" s="3" t="n">
        <v>0.01235578375077039</v>
      </c>
      <c r="O58" s="3" t="n">
        <v>5.092139137917673</v>
      </c>
      <c r="P58" s="4" t="n">
        <v>0.8333333333333334</v>
      </c>
      <c r="Q58" t="n">
        <v>30</v>
      </c>
      <c r="R58" t="n">
        <v>39</v>
      </c>
      <c r="S58" t="n">
        <v>36</v>
      </c>
      <c r="T58" t="n">
        <v>21</v>
      </c>
      <c r="U58" t="n">
        <v>240</v>
      </c>
      <c r="V58" t="n">
        <v>312</v>
      </c>
      <c r="W58" t="n">
        <v>288</v>
      </c>
      <c r="X58" t="n">
        <v>168</v>
      </c>
      <c r="Y58" t="inlineStr">
        <is>
          <t>P1:30, P2:39, P3:36, P0:21</t>
        </is>
      </c>
      <c r="Z58" t="n">
        <v/>
      </c>
      <c r="AA58" t="n">
        <v/>
      </c>
      <c r="AB58" t="n">
        <v/>
      </c>
    </row>
    <row r="59">
      <c r="A59" t="n">
        <v>12</v>
      </c>
      <c r="B59" t="inlineStr">
        <is>
          <t>RRP_MS_KMEANS_VNS</t>
        </is>
      </c>
      <c r="C59" t="inlineStr">
        <is>
          <t>MS_KMeans_VNS</t>
        </is>
      </c>
      <c r="D59" t="n">
        <v>1000</v>
      </c>
      <c r="E59" t="n">
        <v>1008</v>
      </c>
      <c r="F59" s="3" t="n">
        <v>654.686776296747</v>
      </c>
      <c r="G59" s="3" t="n">
        <v>7539.062947643484</v>
      </c>
      <c r="H59" s="3" t="n">
        <v>6.540963799998281</v>
      </c>
      <c r="I59" t="n">
        <v>125</v>
      </c>
      <c r="J59" t="n">
        <v>1000</v>
      </c>
      <c r="K59" t="n">
        <v>8</v>
      </c>
      <c r="L59" s="4" t="n">
        <v>0.9920634920634921</v>
      </c>
      <c r="M59" s="3" t="n">
        <v>0.05011579252049527</v>
      </c>
      <c r="N59" s="3" t="n">
        <v>0.03420025794419362</v>
      </c>
      <c r="O59" s="3" t="n">
        <v>5.237494210373976</v>
      </c>
      <c r="P59" s="4" t="n">
        <v>0.832</v>
      </c>
      <c r="Q59" t="n">
        <v>34</v>
      </c>
      <c r="R59" t="n">
        <v>35</v>
      </c>
      <c r="S59" t="n">
        <v>35</v>
      </c>
      <c r="T59" t="n">
        <v>21</v>
      </c>
      <c r="U59" t="n">
        <v>272</v>
      </c>
      <c r="V59" t="n">
        <v>280</v>
      </c>
      <c r="W59" t="n">
        <v>280</v>
      </c>
      <c r="X59" t="n">
        <v>168</v>
      </c>
      <c r="Y59" t="inlineStr">
        <is>
          <t>P1:34, P2:35, P3:35, P0:21</t>
        </is>
      </c>
      <c r="Z59" t="n">
        <v/>
      </c>
      <c r="AA59" t="n">
        <v/>
      </c>
      <c r="AB59" t="n">
        <v/>
      </c>
    </row>
    <row r="60">
      <c r="A60" t="n">
        <v>12</v>
      </c>
      <c r="B60" t="inlineStr">
        <is>
          <t>RRP_GA</t>
        </is>
      </c>
      <c r="C60" t="inlineStr">
        <is>
          <t>GA</t>
        </is>
      </c>
      <c r="D60" t="n">
        <v>1000</v>
      </c>
      <c r="E60" t="n">
        <v>1008</v>
      </c>
      <c r="F60" s="3" t="n">
        <v>642.5634258167681</v>
      </c>
      <c r="G60" s="3" t="n">
        <v>7573.893949818718</v>
      </c>
      <c r="H60" s="3" t="n">
        <v>5.965270900007454</v>
      </c>
      <c r="I60" t="n">
        <v>125</v>
      </c>
      <c r="J60" t="n">
        <v>1000</v>
      </c>
      <c r="K60" t="n">
        <v>8</v>
      </c>
      <c r="L60" s="4" t="n">
        <v>0.9920634920634921</v>
      </c>
      <c r="M60" s="3" t="n">
        <v>0.06985186931707094</v>
      </c>
      <c r="N60" s="3" t="n">
        <v>0.01341873198520754</v>
      </c>
      <c r="O60" s="3" t="n">
        <v>5.140507406534145</v>
      </c>
      <c r="P60" s="4" t="n">
        <v>0.84</v>
      </c>
      <c r="Q60" t="n">
        <v>31</v>
      </c>
      <c r="R60" t="n">
        <v>37</v>
      </c>
      <c r="S60" t="n">
        <v>37</v>
      </c>
      <c r="T60" t="n">
        <v>20</v>
      </c>
      <c r="U60" t="n">
        <v>248</v>
      </c>
      <c r="V60" t="n">
        <v>296</v>
      </c>
      <c r="W60" t="n">
        <v>296</v>
      </c>
      <c r="X60" t="n">
        <v>160</v>
      </c>
      <c r="Y60" t="inlineStr">
        <is>
          <t>P1:31, P2:37, P3:37, P0:20</t>
        </is>
      </c>
      <c r="Z60" t="n">
        <v/>
      </c>
      <c r="AA60" t="n">
        <v/>
      </c>
      <c r="AB60" t="n">
        <v/>
      </c>
    </row>
    <row r="61">
      <c r="A61" t="n">
        <v>12</v>
      </c>
      <c r="B61" t="inlineStr">
        <is>
          <t>RRP_SA</t>
        </is>
      </c>
      <c r="C61" t="inlineStr">
        <is>
          <t>SA</t>
        </is>
      </c>
      <c r="D61" t="n">
        <v>1000</v>
      </c>
      <c r="E61" t="n">
        <v>1008</v>
      </c>
      <c r="F61" s="3" t="n">
        <v>708.1032448544618</v>
      </c>
      <c r="G61" s="3" t="n">
        <v>8408.045620615532</v>
      </c>
      <c r="H61" s="3" t="n">
        <v>3.034838799998397</v>
      </c>
      <c r="I61" t="n">
        <v>124</v>
      </c>
      <c r="J61" t="n">
        <v>992</v>
      </c>
      <c r="K61" t="n">
        <v>16</v>
      </c>
      <c r="L61" s="4" t="n">
        <v>0.9841269841269841</v>
      </c>
      <c r="M61" s="3" t="n">
        <v>0.4672185718610014</v>
      </c>
      <c r="N61" s="3" t="n">
        <v>0.01852911061804897</v>
      </c>
      <c r="O61" s="3" t="n">
        <v>5.710510039148885</v>
      </c>
      <c r="P61" s="4" t="n">
        <v>0.8951612903225806</v>
      </c>
      <c r="Q61" t="n">
        <v>36</v>
      </c>
      <c r="R61" t="n">
        <v>42</v>
      </c>
      <c r="S61" t="n">
        <v>33</v>
      </c>
      <c r="T61" t="n">
        <v>13</v>
      </c>
      <c r="U61" t="n">
        <v>288</v>
      </c>
      <c r="V61" t="n">
        <v>336</v>
      </c>
      <c r="W61" t="n">
        <v>264</v>
      </c>
      <c r="X61" t="n">
        <v>104</v>
      </c>
      <c r="Y61" t="inlineStr">
        <is>
          <t>P1:36, P2:42, P3:33, P0:13</t>
        </is>
      </c>
      <c r="Z61" t="n">
        <v/>
      </c>
      <c r="AA61" t="n">
        <v/>
      </c>
      <c r="AB61" t="n">
        <v/>
      </c>
    </row>
    <row r="62">
      <c r="A62" t="n">
        <v>13</v>
      </c>
      <c r="B62" t="inlineStr">
        <is>
          <t>RRP_KMEANS</t>
        </is>
      </c>
      <c r="C62" t="inlineStr">
        <is>
          <t>KMeans</t>
        </is>
      </c>
      <c r="D62" t="n">
        <v>1000</v>
      </c>
      <c r="E62" t="n">
        <v>1008</v>
      </c>
      <c r="F62" s="3" t="n">
        <v>587.7079677090039</v>
      </c>
      <c r="G62" s="3" t="n">
        <v>7655.524956058606</v>
      </c>
      <c r="H62" s="3" t="n">
        <v>0.3487457000010181</v>
      </c>
      <c r="I62" t="n">
        <v>123</v>
      </c>
      <c r="J62" t="n">
        <v>984</v>
      </c>
      <c r="K62" t="n">
        <v>24</v>
      </c>
      <c r="L62" s="4" t="n">
        <v>0.9761904761904762</v>
      </c>
      <c r="M62" s="3" t="n">
        <v>0.04748492536521524</v>
      </c>
      <c r="N62" s="3" t="n">
        <v>-0.01651485703559736</v>
      </c>
      <c r="O62" s="3" t="n">
        <v>4.778113558609788</v>
      </c>
      <c r="P62" s="4" t="n">
        <v>0.7479674796747967</v>
      </c>
      <c r="Q62" t="n">
        <v>33</v>
      </c>
      <c r="R62" t="n">
        <v>27</v>
      </c>
      <c r="S62" t="n">
        <v>32</v>
      </c>
      <c r="T62" t="n">
        <v>31</v>
      </c>
      <c r="U62" t="n">
        <v>264</v>
      </c>
      <c r="V62" t="n">
        <v>216</v>
      </c>
      <c r="W62" t="n">
        <v>256</v>
      </c>
      <c r="X62" t="n">
        <v>248</v>
      </c>
      <c r="Y62" t="inlineStr">
        <is>
          <t>P1:33, P2:27, P3:32, P0:31</t>
        </is>
      </c>
      <c r="Z62" t="n">
        <v/>
      </c>
      <c r="AA62" t="n">
        <v/>
      </c>
      <c r="AB62" t="n">
        <v/>
      </c>
    </row>
    <row r="63">
      <c r="A63" t="n">
        <v>13</v>
      </c>
      <c r="B63" t="inlineStr">
        <is>
          <t>RRP_KMEANS_VNS</t>
        </is>
      </c>
      <c r="C63" t="inlineStr">
        <is>
          <t>KMeans_VNS</t>
        </is>
      </c>
      <c r="D63" t="n">
        <v>1000</v>
      </c>
      <c r="E63" t="n">
        <v>1008</v>
      </c>
      <c r="F63" s="3" t="n">
        <v>642.5701136474643</v>
      </c>
      <c r="G63" s="3" t="n">
        <v>8228.722011809972</v>
      </c>
      <c r="H63" s="3" t="n">
        <v>7.956089899991639</v>
      </c>
      <c r="I63" t="n">
        <v>125</v>
      </c>
      <c r="J63" t="n">
        <v>1000</v>
      </c>
      <c r="K63" t="n">
        <v>8</v>
      </c>
      <c r="L63" s="4" t="n">
        <v>0.9920634920634921</v>
      </c>
      <c r="M63" s="3" t="n">
        <v>0.06878181640570263</v>
      </c>
      <c r="N63" s="3" t="n">
        <v>0.01522059900259917</v>
      </c>
      <c r="O63" s="3" t="n">
        <v>5.140560909179714</v>
      </c>
      <c r="P63" s="4" t="n">
        <v>0.8</v>
      </c>
      <c r="Q63" t="n">
        <v>34</v>
      </c>
      <c r="R63" t="n">
        <v>35</v>
      </c>
      <c r="S63" t="n">
        <v>31</v>
      </c>
      <c r="T63" t="n">
        <v>25</v>
      </c>
      <c r="U63" t="n">
        <v>272</v>
      </c>
      <c r="V63" t="n">
        <v>280</v>
      </c>
      <c r="W63" t="n">
        <v>248</v>
      </c>
      <c r="X63" t="n">
        <v>200</v>
      </c>
      <c r="Y63" t="inlineStr">
        <is>
          <t>P1:34, P2:35, P3:31, P0:25</t>
        </is>
      </c>
      <c r="Z63" t="n">
        <v/>
      </c>
      <c r="AA63" t="n">
        <v/>
      </c>
      <c r="AB63" t="n">
        <v/>
      </c>
    </row>
    <row r="64">
      <c r="A64" t="n">
        <v>13</v>
      </c>
      <c r="B64" t="inlineStr">
        <is>
          <t>RRP_MS_KMEANS_VNS</t>
        </is>
      </c>
      <c r="C64" t="inlineStr">
        <is>
          <t>MS_KMeans_VNS</t>
        </is>
      </c>
      <c r="D64" t="n">
        <v>1000</v>
      </c>
      <c r="E64" t="n">
        <v>1008</v>
      </c>
      <c r="F64" s="3" t="n">
        <v>608.7050912604032</v>
      </c>
      <c r="G64" s="3" t="n">
        <v>8147.768038903887</v>
      </c>
      <c r="H64" s="3" t="n">
        <v>6.620406200003345</v>
      </c>
      <c r="I64" t="n">
        <v>123</v>
      </c>
      <c r="J64" t="n">
        <v>984</v>
      </c>
      <c r="K64" t="n">
        <v>24</v>
      </c>
      <c r="L64" s="4" t="n">
        <v>0.9761904761904762</v>
      </c>
      <c r="M64" s="3" t="n">
        <v>0.04795264058485554</v>
      </c>
      <c r="N64" s="3" t="n">
        <v>-0.007040236175605205</v>
      </c>
      <c r="O64" s="3" t="n">
        <v>4.948821880165879</v>
      </c>
      <c r="P64" s="4" t="n">
        <v>0.7723577235772358</v>
      </c>
      <c r="Q64" t="n">
        <v>33</v>
      </c>
      <c r="R64" t="n">
        <v>31</v>
      </c>
      <c r="S64" t="n">
        <v>31</v>
      </c>
      <c r="T64" t="n">
        <v>28</v>
      </c>
      <c r="U64" t="n">
        <v>264</v>
      </c>
      <c r="V64" t="n">
        <v>248</v>
      </c>
      <c r="W64" t="n">
        <v>248</v>
      </c>
      <c r="X64" t="n">
        <v>224</v>
      </c>
      <c r="Y64" t="inlineStr">
        <is>
          <t>P1:33, P2:31, P3:31, P0:28</t>
        </is>
      </c>
      <c r="Z64" t="n">
        <v/>
      </c>
      <c r="AA64" t="n">
        <v/>
      </c>
      <c r="AB64" t="n">
        <v/>
      </c>
    </row>
    <row r="65">
      <c r="A65" t="n">
        <v>13</v>
      </c>
      <c r="B65" t="inlineStr">
        <is>
          <t>RRP_GA</t>
        </is>
      </c>
      <c r="C65" t="inlineStr">
        <is>
          <t>GA</t>
        </is>
      </c>
      <c r="D65" t="n">
        <v>1000</v>
      </c>
      <c r="E65" t="n">
        <v>1008</v>
      </c>
      <c r="F65" s="3" t="n">
        <v>632.6081204454463</v>
      </c>
      <c r="G65" s="3" t="n">
        <v>8206.502070264165</v>
      </c>
      <c r="H65" s="3" t="n">
        <v>7.009620300013921</v>
      </c>
      <c r="I65" t="n">
        <v>123</v>
      </c>
      <c r="J65" t="n">
        <v>984</v>
      </c>
      <c r="K65" t="n">
        <v>24</v>
      </c>
      <c r="L65" s="4" t="n">
        <v>0.9761904761904762</v>
      </c>
      <c r="M65" s="3" t="n">
        <v>0.06372025277297488</v>
      </c>
      <c r="N65" s="3" t="n">
        <v>0.01705784020463125</v>
      </c>
      <c r="O65" s="3" t="n">
        <v>5.143155450775986</v>
      </c>
      <c r="P65" s="4" t="n">
        <v>0.8130081300813008</v>
      </c>
      <c r="Q65" t="n">
        <v>33</v>
      </c>
      <c r="R65" t="n">
        <v>34</v>
      </c>
      <c r="S65" t="n">
        <v>33</v>
      </c>
      <c r="T65" t="n">
        <v>23</v>
      </c>
      <c r="U65" t="n">
        <v>264</v>
      </c>
      <c r="V65" t="n">
        <v>272</v>
      </c>
      <c r="W65" t="n">
        <v>264</v>
      </c>
      <c r="X65" t="n">
        <v>184</v>
      </c>
      <c r="Y65" t="inlineStr">
        <is>
          <t>P1:33, P2:34, P3:33, P0:23</t>
        </is>
      </c>
      <c r="Z65" t="n">
        <v/>
      </c>
      <c r="AA65" t="n">
        <v/>
      </c>
      <c r="AB65" t="n">
        <v/>
      </c>
    </row>
    <row r="66">
      <c r="A66" t="n">
        <v>13</v>
      </c>
      <c r="B66" t="inlineStr">
        <is>
          <t>RRP_SA</t>
        </is>
      </c>
      <c r="C66" t="inlineStr">
        <is>
          <t>SA</t>
        </is>
      </c>
      <c r="D66" t="n">
        <v>1000</v>
      </c>
      <c r="E66" t="n">
        <v>1016</v>
      </c>
      <c r="F66" s="3" t="n">
        <v>711.0633011118346</v>
      </c>
      <c r="G66" s="3" t="n">
        <v>9119.108921727367</v>
      </c>
      <c r="H66" s="3" t="n">
        <v>3.320959799995762</v>
      </c>
      <c r="I66" t="n">
        <v>125</v>
      </c>
      <c r="J66" t="n">
        <v>1000</v>
      </c>
      <c r="K66" t="n">
        <v>16</v>
      </c>
      <c r="L66" s="4" t="n">
        <v>0.984251968503937</v>
      </c>
      <c r="M66" s="3" t="n">
        <v>0.469871822106472</v>
      </c>
      <c r="N66" s="3" t="n">
        <v>0.005378215453609659</v>
      </c>
      <c r="O66" s="3" t="n">
        <v>5.688506408894677</v>
      </c>
      <c r="P66" s="4" t="n">
        <v>0.896</v>
      </c>
      <c r="Q66" t="n">
        <v>39</v>
      </c>
      <c r="R66" t="n">
        <v>35</v>
      </c>
      <c r="S66" t="n">
        <v>38</v>
      </c>
      <c r="T66" t="n">
        <v>13</v>
      </c>
      <c r="U66" t="n">
        <v>312</v>
      </c>
      <c r="V66" t="n">
        <v>280</v>
      </c>
      <c r="W66" t="n">
        <v>304</v>
      </c>
      <c r="X66" t="n">
        <v>104</v>
      </c>
      <c r="Y66" t="inlineStr">
        <is>
          <t>P1:39, P2:35, P3:38, P0:13</t>
        </is>
      </c>
      <c r="Z66" t="n">
        <v/>
      </c>
      <c r="AA66" t="n">
        <v/>
      </c>
      <c r="AB66" t="n">
        <v/>
      </c>
    </row>
    <row r="67">
      <c r="A67" t="n">
        <v>14</v>
      </c>
      <c r="B67" t="inlineStr">
        <is>
          <t>RRP_KMEANS</t>
        </is>
      </c>
      <c r="C67" t="inlineStr">
        <is>
          <t>KMeans</t>
        </is>
      </c>
      <c r="D67" t="n">
        <v>1000</v>
      </c>
      <c r="E67" t="n">
        <v>1024</v>
      </c>
      <c r="F67" s="3" t="n">
        <v>622.565147167336</v>
      </c>
      <c r="G67" s="3" t="n">
        <v>8278.090103225943</v>
      </c>
      <c r="H67" s="3" t="n">
        <v>0.3531273999979021</v>
      </c>
      <c r="I67" t="n">
        <v>127</v>
      </c>
      <c r="J67" t="n">
        <v>1016</v>
      </c>
      <c r="K67" t="n">
        <v>8</v>
      </c>
      <c r="L67" s="4" t="n">
        <v>0.9921875</v>
      </c>
      <c r="M67" s="3" t="n">
        <v>0.06848076104944861</v>
      </c>
      <c r="N67" s="3" t="n">
        <v>0.02236158138109293</v>
      </c>
      <c r="O67" s="3" t="n">
        <v>4.90208777297115</v>
      </c>
      <c r="P67" s="4" t="n">
        <v>0.7716535433070866</v>
      </c>
      <c r="Q67" t="n">
        <v>32</v>
      </c>
      <c r="R67" t="n">
        <v>35</v>
      </c>
      <c r="S67" t="n">
        <v>31</v>
      </c>
      <c r="T67" t="n">
        <v>29</v>
      </c>
      <c r="U67" t="n">
        <v>256</v>
      </c>
      <c r="V67" t="n">
        <v>280</v>
      </c>
      <c r="W67" t="n">
        <v>248</v>
      </c>
      <c r="X67" t="n">
        <v>232</v>
      </c>
      <c r="Y67" t="inlineStr">
        <is>
          <t>P1:32, P2:35, P3:31, P0:29</t>
        </is>
      </c>
      <c r="Z67" t="n">
        <v/>
      </c>
      <c r="AA67" t="n">
        <v/>
      </c>
      <c r="AB67" t="n">
        <v/>
      </c>
    </row>
    <row r="68">
      <c r="A68" t="n">
        <v>14</v>
      </c>
      <c r="B68" t="inlineStr">
        <is>
          <t>RRP_KMEANS_VNS</t>
        </is>
      </c>
      <c r="C68" t="inlineStr">
        <is>
          <t>KMeans_VNS</t>
        </is>
      </c>
      <c r="D68" t="n">
        <v>1000</v>
      </c>
      <c r="E68" t="n">
        <v>1008</v>
      </c>
      <c r="F68" s="3" t="n">
        <v>624.6873329845866</v>
      </c>
      <c r="G68" s="3" t="n">
        <v>8853.40934479456</v>
      </c>
      <c r="H68" s="3" t="n">
        <v>6.660032900006627</v>
      </c>
      <c r="I68" t="n">
        <v>125</v>
      </c>
      <c r="J68" t="n">
        <v>1000</v>
      </c>
      <c r="K68" t="n">
        <v>8</v>
      </c>
      <c r="L68" s="4" t="n">
        <v>0.9920634920634921</v>
      </c>
      <c r="M68" s="3" t="n">
        <v>0.05002672246616144</v>
      </c>
      <c r="N68" s="3" t="n">
        <v>0.00289878479475796</v>
      </c>
      <c r="O68" s="3" t="n">
        <v>4.997498663876693</v>
      </c>
      <c r="P68" s="4" t="n">
        <v>0.792</v>
      </c>
      <c r="Q68" t="n">
        <v>31</v>
      </c>
      <c r="R68" t="n">
        <v>37</v>
      </c>
      <c r="S68" t="n">
        <v>31</v>
      </c>
      <c r="T68" t="n">
        <v>26</v>
      </c>
      <c r="U68" t="n">
        <v>248</v>
      </c>
      <c r="V68" t="n">
        <v>296</v>
      </c>
      <c r="W68" t="n">
        <v>248</v>
      </c>
      <c r="X68" t="n">
        <v>208</v>
      </c>
      <c r="Y68" t="inlineStr">
        <is>
          <t>P1:31, P2:37, P3:31, P0:26</t>
        </is>
      </c>
      <c r="Z68" t="n">
        <v/>
      </c>
      <c r="AA68" t="n">
        <v/>
      </c>
      <c r="AB68" t="n">
        <v/>
      </c>
    </row>
    <row r="69">
      <c r="A69" t="n">
        <v>14</v>
      </c>
      <c r="B69" t="inlineStr">
        <is>
          <t>RRP_MS_KMEANS_VNS</t>
        </is>
      </c>
      <c r="C69" t="inlineStr">
        <is>
          <t>MS_KMeans_VNS</t>
        </is>
      </c>
      <c r="D69" t="n">
        <v>1000</v>
      </c>
      <c r="E69" t="n">
        <v>1024</v>
      </c>
      <c r="F69" s="3" t="n">
        <v>644.6452853296249</v>
      </c>
      <c r="G69" s="3" t="n">
        <v>8792.413324233512</v>
      </c>
      <c r="H69" s="3" t="n">
        <v>5.36155649999273</v>
      </c>
      <c r="I69" t="n">
        <v>127</v>
      </c>
      <c r="J69" t="n">
        <v>1016</v>
      </c>
      <c r="K69" t="n">
        <v>8</v>
      </c>
      <c r="L69" s="4" t="n">
        <v>0.9921875</v>
      </c>
      <c r="M69" s="3" t="n">
        <v>0.05586057801182489</v>
      </c>
      <c r="N69" s="3" t="n">
        <v>0.01209306991978834</v>
      </c>
      <c r="O69" s="3" t="n">
        <v>5.075947128579724</v>
      </c>
      <c r="P69" s="4" t="n">
        <v>0.7952755905511811</v>
      </c>
      <c r="Q69" t="n">
        <v>33</v>
      </c>
      <c r="R69" t="n">
        <v>37</v>
      </c>
      <c r="S69" t="n">
        <v>31</v>
      </c>
      <c r="T69" t="n">
        <v>26</v>
      </c>
      <c r="U69" t="n">
        <v>264</v>
      </c>
      <c r="V69" t="n">
        <v>296</v>
      </c>
      <c r="W69" t="n">
        <v>248</v>
      </c>
      <c r="X69" t="n">
        <v>208</v>
      </c>
      <c r="Y69" t="inlineStr">
        <is>
          <t>P1:33, P2:37, P3:31, P0:26</t>
        </is>
      </c>
      <c r="Z69" t="n">
        <v/>
      </c>
      <c r="AA69" t="n">
        <v/>
      </c>
      <c r="AB69" t="n">
        <v/>
      </c>
    </row>
    <row r="70">
      <c r="A70" t="n">
        <v>14</v>
      </c>
      <c r="B70" t="inlineStr">
        <is>
          <t>RRP_GA</t>
        </is>
      </c>
      <c r="C70" t="inlineStr">
        <is>
          <t>GA</t>
        </is>
      </c>
      <c r="D70" t="n">
        <v>1000</v>
      </c>
      <c r="E70" t="n">
        <v>1024</v>
      </c>
      <c r="F70" s="3" t="n">
        <v>631.5195844283069</v>
      </c>
      <c r="G70" s="3" t="n">
        <v>8838.021654692471</v>
      </c>
      <c r="H70" s="3" t="n">
        <v>5.485201599993161</v>
      </c>
      <c r="I70" t="n">
        <v>126</v>
      </c>
      <c r="J70" t="n">
        <v>1008</v>
      </c>
      <c r="K70" t="n">
        <v>16</v>
      </c>
      <c r="L70" s="4" t="n">
        <v>0.984375</v>
      </c>
      <c r="M70" s="3" t="n">
        <v>0.07625643995129135</v>
      </c>
      <c r="N70" s="3" t="n">
        <v>-0.01080794518997996</v>
      </c>
      <c r="O70" s="3" t="n">
        <v>5.012060193875452</v>
      </c>
      <c r="P70" s="4" t="n">
        <v>0.7857142857142857</v>
      </c>
      <c r="Q70" t="n">
        <v>32</v>
      </c>
      <c r="R70" t="n">
        <v>37</v>
      </c>
      <c r="S70" t="n">
        <v>30</v>
      </c>
      <c r="T70" t="n">
        <v>27</v>
      </c>
      <c r="U70" t="n">
        <v>256</v>
      </c>
      <c r="V70" t="n">
        <v>296</v>
      </c>
      <c r="W70" t="n">
        <v>240</v>
      </c>
      <c r="X70" t="n">
        <v>216</v>
      </c>
      <c r="Y70" t="inlineStr">
        <is>
          <t>P1:32, P2:37, P3:30, P0:27</t>
        </is>
      </c>
      <c r="Z70" t="n">
        <v/>
      </c>
      <c r="AA70" t="n">
        <v/>
      </c>
      <c r="AB70" t="n">
        <v/>
      </c>
    </row>
    <row r="71">
      <c r="A71" t="n">
        <v>14</v>
      </c>
      <c r="B71" t="inlineStr">
        <is>
          <t>RRP_SA</t>
        </is>
      </c>
      <c r="C71" t="inlineStr">
        <is>
          <t>SA</t>
        </is>
      </c>
      <c r="D71" t="n">
        <v>1000</v>
      </c>
      <c r="E71" t="n">
        <v>1016</v>
      </c>
      <c r="F71" s="3" t="n">
        <v>704.1862236369225</v>
      </c>
      <c r="G71" s="3" t="n">
        <v>9823.295145364289</v>
      </c>
      <c r="H71" s="3" t="n">
        <v>2.895027599995956</v>
      </c>
      <c r="I71" t="n">
        <v>126</v>
      </c>
      <c r="J71" t="n">
        <v>1008</v>
      </c>
      <c r="K71" t="n">
        <v>8</v>
      </c>
      <c r="L71" s="4" t="n">
        <v>0.9921259842519685</v>
      </c>
      <c r="M71" s="3" t="n">
        <v>0.4466311687424454</v>
      </c>
      <c r="N71" s="3" t="n">
        <v>-0.003237910661054306</v>
      </c>
      <c r="O71" s="3" t="n">
        <v>5.588779552673988</v>
      </c>
      <c r="P71" s="4" t="n">
        <v>0.8809523809523809</v>
      </c>
      <c r="Q71" t="n">
        <v>38</v>
      </c>
      <c r="R71" t="n">
        <v>36</v>
      </c>
      <c r="S71" t="n">
        <v>37</v>
      </c>
      <c r="T71" t="n">
        <v>15</v>
      </c>
      <c r="U71" t="n">
        <v>304</v>
      </c>
      <c r="V71" t="n">
        <v>288</v>
      </c>
      <c r="W71" t="n">
        <v>296</v>
      </c>
      <c r="X71" t="n">
        <v>120</v>
      </c>
      <c r="Y71" t="inlineStr">
        <is>
          <t>P1:38, P2:36, P3:37, P0:15</t>
        </is>
      </c>
      <c r="Z71" t="n">
        <v/>
      </c>
      <c r="AA71" t="n">
        <v/>
      </c>
      <c r="AB71" t="n">
        <v/>
      </c>
    </row>
    <row r="72">
      <c r="A72" t="n">
        <v>15</v>
      </c>
      <c r="B72" t="inlineStr">
        <is>
          <t>RRP_KMEANS</t>
        </is>
      </c>
      <c r="C72" t="inlineStr">
        <is>
          <t>KMeans</t>
        </is>
      </c>
      <c r="D72" t="n">
        <v>1000</v>
      </c>
      <c r="E72" t="n">
        <v>1008</v>
      </c>
      <c r="F72" s="3" t="n">
        <v>597.6629312795635</v>
      </c>
      <c r="G72" s="3" t="n">
        <v>8875.753034505506</v>
      </c>
      <c r="H72" s="3" t="n">
        <v>0.286182199997711</v>
      </c>
      <c r="I72" t="n">
        <v>123</v>
      </c>
      <c r="J72" t="n">
        <v>984</v>
      </c>
      <c r="K72" t="n">
        <v>24</v>
      </c>
      <c r="L72" s="4" t="n">
        <v>0.9761904761904762</v>
      </c>
      <c r="M72" s="3" t="n">
        <v>0.0548079220222066</v>
      </c>
      <c r="N72" s="3" t="n">
        <v>0.02032631555065629</v>
      </c>
      <c r="O72" s="3" t="n">
        <v>4.859048221785069</v>
      </c>
      <c r="P72" s="4" t="n">
        <v>0.7723577235772358</v>
      </c>
      <c r="Q72" t="n">
        <v>31</v>
      </c>
      <c r="R72" t="n">
        <v>32</v>
      </c>
      <c r="S72" t="n">
        <v>32</v>
      </c>
      <c r="T72" t="n">
        <v>28</v>
      </c>
      <c r="U72" t="n">
        <v>248</v>
      </c>
      <c r="V72" t="n">
        <v>256</v>
      </c>
      <c r="W72" t="n">
        <v>256</v>
      </c>
      <c r="X72" t="n">
        <v>224</v>
      </c>
      <c r="Y72" t="inlineStr">
        <is>
          <t>P1:31, P2:32, P3:32, P0:28</t>
        </is>
      </c>
      <c r="Z72" t="n">
        <v/>
      </c>
      <c r="AA72" t="n">
        <v/>
      </c>
      <c r="AB72" t="n">
        <v/>
      </c>
    </row>
    <row r="73">
      <c r="A73" t="n">
        <v>15</v>
      </c>
      <c r="B73" t="inlineStr">
        <is>
          <t>RRP_KMEANS_VNS</t>
        </is>
      </c>
      <c r="C73" t="inlineStr">
        <is>
          <t>KMeans_VNS</t>
        </is>
      </c>
      <c r="D73" t="n">
        <v>1000</v>
      </c>
      <c r="E73" t="n">
        <v>1008</v>
      </c>
      <c r="F73" s="3" t="n">
        <v>665.509904834451</v>
      </c>
      <c r="G73" s="3" t="n">
        <v>9518.919249629011</v>
      </c>
      <c r="H73" s="3" t="n">
        <v>8.484401800000342</v>
      </c>
      <c r="I73" t="n">
        <v>125</v>
      </c>
      <c r="J73" t="n">
        <v>1000</v>
      </c>
      <c r="K73" t="n">
        <v>8</v>
      </c>
      <c r="L73" s="4" t="n">
        <v>0.9920634920634921</v>
      </c>
      <c r="M73" s="3" t="n">
        <v>0.07841522648782721</v>
      </c>
      <c r="N73" s="3" t="n">
        <v>0.03939621719094425</v>
      </c>
      <c r="O73" s="3" t="n">
        <v>5.324079238675608</v>
      </c>
      <c r="P73" s="4" t="n">
        <v>0.832</v>
      </c>
      <c r="Q73" t="n">
        <v>36</v>
      </c>
      <c r="R73" t="n">
        <v>34</v>
      </c>
      <c r="S73" t="n">
        <v>34</v>
      </c>
      <c r="T73" t="n">
        <v>21</v>
      </c>
      <c r="U73" t="n">
        <v>288</v>
      </c>
      <c r="V73" t="n">
        <v>272</v>
      </c>
      <c r="W73" t="n">
        <v>272</v>
      </c>
      <c r="X73" t="n">
        <v>168</v>
      </c>
      <c r="Y73" t="inlineStr">
        <is>
          <t>P1:36, P2:34, P3:34, P0:21</t>
        </is>
      </c>
      <c r="Z73" t="n">
        <v/>
      </c>
      <c r="AA73" t="n">
        <v/>
      </c>
      <c r="AB73" t="n">
        <v/>
      </c>
    </row>
    <row r="74">
      <c r="A74" t="n">
        <v>15</v>
      </c>
      <c r="B74" t="inlineStr">
        <is>
          <t>RRP_MS_KMEANS_VNS</t>
        </is>
      </c>
      <c r="C74" t="inlineStr">
        <is>
          <t>MS_KMeans_VNS</t>
        </is>
      </c>
      <c r="D74" t="n">
        <v>1000</v>
      </c>
      <c r="E74" t="n">
        <v>1008</v>
      </c>
      <c r="F74" s="3" t="n">
        <v>655.6454900214367</v>
      </c>
      <c r="G74" s="3" t="n">
        <v>9448.05881425495</v>
      </c>
      <c r="H74" s="3" t="n">
        <v>5.388421700001345</v>
      </c>
      <c r="I74" t="n">
        <v>124</v>
      </c>
      <c r="J74" t="n">
        <v>992</v>
      </c>
      <c r="K74" t="n">
        <v>16</v>
      </c>
      <c r="L74" s="4" t="n">
        <v>0.9841269841269841</v>
      </c>
      <c r="M74" s="3" t="n">
        <v>0.05717902880052989</v>
      </c>
      <c r="N74" s="3" t="n">
        <v>0.04434782233275279</v>
      </c>
      <c r="O74" s="3" t="n">
        <v>5.287463629205134</v>
      </c>
      <c r="P74" s="4" t="n">
        <v>0.8064516129032258</v>
      </c>
      <c r="Q74" t="n">
        <v>35</v>
      </c>
      <c r="R74" t="n">
        <v>37</v>
      </c>
      <c r="S74" t="n">
        <v>28</v>
      </c>
      <c r="T74" t="n">
        <v>24</v>
      </c>
      <c r="U74" t="n">
        <v>280</v>
      </c>
      <c r="V74" t="n">
        <v>296</v>
      </c>
      <c r="W74" t="n">
        <v>224</v>
      </c>
      <c r="X74" t="n">
        <v>192</v>
      </c>
      <c r="Y74" t="inlineStr">
        <is>
          <t>P1:35, P2:37, P3:28, P0:24</t>
        </is>
      </c>
      <c r="Z74" t="n">
        <v/>
      </c>
      <c r="AA74" t="n">
        <v/>
      </c>
      <c r="AB74" t="n">
        <v/>
      </c>
    </row>
    <row r="75">
      <c r="A75" t="n">
        <v>15</v>
      </c>
      <c r="B75" t="inlineStr">
        <is>
          <t>RRP_GA</t>
        </is>
      </c>
      <c r="C75" t="inlineStr">
        <is>
          <t>GA</t>
        </is>
      </c>
      <c r="D75" t="n">
        <v>1000</v>
      </c>
      <c r="E75" t="n">
        <v>1016</v>
      </c>
      <c r="F75" s="3" t="n">
        <v>680.473560276745</v>
      </c>
      <c r="G75" s="3" t="n">
        <v>9518.495214969216</v>
      </c>
      <c r="H75" s="3" t="n">
        <v>6.838470599992434</v>
      </c>
      <c r="I75" t="n">
        <v>126</v>
      </c>
      <c r="J75" t="n">
        <v>1008</v>
      </c>
      <c r="K75" t="n">
        <v>8</v>
      </c>
      <c r="L75" s="4" t="n">
        <v>0.9921259842519685</v>
      </c>
      <c r="M75" s="3" t="n">
        <v>0.08356186083414303</v>
      </c>
      <c r="N75" s="3" t="n">
        <v>0.03910780119858599</v>
      </c>
      <c r="O75" s="3" t="n">
        <v>5.400583811720199</v>
      </c>
      <c r="P75" s="4" t="n">
        <v>0.8492063492063492</v>
      </c>
      <c r="Q75" t="n">
        <v>36</v>
      </c>
      <c r="R75" t="n">
        <v>36</v>
      </c>
      <c r="S75" t="n">
        <v>35</v>
      </c>
      <c r="T75" t="n">
        <v>19</v>
      </c>
      <c r="U75" t="n">
        <v>288</v>
      </c>
      <c r="V75" t="n">
        <v>288</v>
      </c>
      <c r="W75" t="n">
        <v>280</v>
      </c>
      <c r="X75" t="n">
        <v>152</v>
      </c>
      <c r="Y75" t="inlineStr">
        <is>
          <t>P1:36, P2:36, P3:35, P0:19</t>
        </is>
      </c>
      <c r="Z75" t="n">
        <v/>
      </c>
      <c r="AA75" t="n">
        <v/>
      </c>
      <c r="AB75" t="n">
        <v/>
      </c>
    </row>
    <row r="76">
      <c r="A76" t="n">
        <v>15</v>
      </c>
      <c r="B76" t="inlineStr">
        <is>
          <t>RRP_SA</t>
        </is>
      </c>
      <c r="C76" t="inlineStr">
        <is>
          <t>SA</t>
        </is>
      </c>
      <c r="D76" t="n">
        <v>1000</v>
      </c>
      <c r="E76" t="n">
        <v>1008</v>
      </c>
      <c r="F76" s="3" t="n">
        <v>736.0491773106869</v>
      </c>
      <c r="G76" s="3" t="n">
        <v>10559.34432267498</v>
      </c>
      <c r="H76" s="3" t="n">
        <v>3.359786100001656</v>
      </c>
      <c r="I76" t="n">
        <v>125</v>
      </c>
      <c r="J76" t="n">
        <v>1000</v>
      </c>
      <c r="K76" t="n">
        <v>8</v>
      </c>
      <c r="L76" s="4" t="n">
        <v>0.9920634920634921</v>
      </c>
      <c r="M76" s="3" t="n">
        <v>0.4721316302901086</v>
      </c>
      <c r="N76" s="3" t="n">
        <v>0.05114111007782474</v>
      </c>
      <c r="O76" s="3" t="n">
        <v>5.888393418485495</v>
      </c>
      <c r="P76" s="4" t="n">
        <v>0.888</v>
      </c>
      <c r="Q76" t="n">
        <v>40</v>
      </c>
      <c r="R76" t="n">
        <v>42</v>
      </c>
      <c r="S76" t="n">
        <v>29</v>
      </c>
      <c r="T76" t="n">
        <v>14</v>
      </c>
      <c r="U76" t="n">
        <v>320</v>
      </c>
      <c r="V76" t="n">
        <v>336</v>
      </c>
      <c r="W76" t="n">
        <v>232</v>
      </c>
      <c r="X76" t="n">
        <v>112</v>
      </c>
      <c r="Y76" t="inlineStr">
        <is>
          <t>P1:40, P2:42, P3:29, P0:14</t>
        </is>
      </c>
      <c r="Z76" t="n">
        <v/>
      </c>
      <c r="AA76" t="n">
        <v/>
      </c>
      <c r="AB76" t="n">
        <v/>
      </c>
    </row>
    <row r="77">
      <c r="A77" t="n">
        <v>16</v>
      </c>
      <c r="B77" t="inlineStr">
        <is>
          <t>RRP_KMEANS</t>
        </is>
      </c>
      <c r="C77" t="inlineStr">
        <is>
          <t>KMeans</t>
        </is>
      </c>
      <c r="D77" t="n">
        <v>1000</v>
      </c>
      <c r="E77" t="n">
        <v>1024</v>
      </c>
      <c r="F77" s="3" t="n">
        <v>616.6526840224667</v>
      </c>
      <c r="G77" s="3" t="n">
        <v>9492.405718527973</v>
      </c>
      <c r="H77" s="3" t="n">
        <v>0.3046203999983845</v>
      </c>
      <c r="I77" t="n">
        <v>126</v>
      </c>
      <c r="J77" t="n">
        <v>1008</v>
      </c>
      <c r="K77" t="n">
        <v>16</v>
      </c>
      <c r="L77" s="4" t="n">
        <v>0.984375</v>
      </c>
      <c r="M77" s="3" t="n">
        <v>0.05512952024338118</v>
      </c>
      <c r="N77" s="3" t="n">
        <v>0.04996714898889037</v>
      </c>
      <c r="O77" s="3" t="n">
        <v>4.894068920813228</v>
      </c>
      <c r="P77" s="4" t="n">
        <v>0.7777777777777778</v>
      </c>
      <c r="Q77" t="n">
        <v>32</v>
      </c>
      <c r="R77" t="n">
        <v>33</v>
      </c>
      <c r="S77" t="n">
        <v>33</v>
      </c>
      <c r="T77" t="n">
        <v>28</v>
      </c>
      <c r="U77" t="n">
        <v>256</v>
      </c>
      <c r="V77" t="n">
        <v>264</v>
      </c>
      <c r="W77" t="n">
        <v>264</v>
      </c>
      <c r="X77" t="n">
        <v>224</v>
      </c>
      <c r="Y77" t="inlineStr">
        <is>
          <t>P1:32, P2:33, P3:33, P0:28</t>
        </is>
      </c>
      <c r="Z77" t="n">
        <v/>
      </c>
      <c r="AA77" t="n">
        <v/>
      </c>
      <c r="AB77" t="n">
        <v/>
      </c>
    </row>
    <row r="78">
      <c r="A78" t="n">
        <v>16</v>
      </c>
      <c r="B78" t="inlineStr">
        <is>
          <t>RRP_KMEANS_VNS</t>
        </is>
      </c>
      <c r="C78" t="inlineStr">
        <is>
          <t>KMeans_VNS</t>
        </is>
      </c>
      <c r="D78" t="n">
        <v>1000</v>
      </c>
      <c r="E78" t="n">
        <v>1008</v>
      </c>
      <c r="F78" s="3" t="n">
        <v>650.5856017626014</v>
      </c>
      <c r="G78" s="3" t="n">
        <v>10169.50485139161</v>
      </c>
      <c r="H78" s="3" t="n">
        <v>9.407702999989851</v>
      </c>
      <c r="I78" t="n">
        <v>124</v>
      </c>
      <c r="J78" t="n">
        <v>992</v>
      </c>
      <c r="K78" t="n">
        <v>16</v>
      </c>
      <c r="L78" s="4" t="n">
        <v>0.9841269841269841</v>
      </c>
      <c r="M78" s="3" t="n">
        <v>0.06683842538686773</v>
      </c>
      <c r="N78" s="3" t="n">
        <v>0.02431103179617879</v>
      </c>
      <c r="O78" s="3" t="n">
        <v>5.246658078730657</v>
      </c>
      <c r="P78" s="4" t="n">
        <v>0.8145161290322581</v>
      </c>
      <c r="Q78" t="n">
        <v>36</v>
      </c>
      <c r="R78" t="n">
        <v>32</v>
      </c>
      <c r="S78" t="n">
        <v>33</v>
      </c>
      <c r="T78" t="n">
        <v>23</v>
      </c>
      <c r="U78" t="n">
        <v>288</v>
      </c>
      <c r="V78" t="n">
        <v>256</v>
      </c>
      <c r="W78" t="n">
        <v>264</v>
      </c>
      <c r="X78" t="n">
        <v>184</v>
      </c>
      <c r="Y78" t="inlineStr">
        <is>
          <t>P1:36, P2:32, P3:33, P0:23</t>
        </is>
      </c>
      <c r="Z78" t="n">
        <v/>
      </c>
      <c r="AA78" t="n">
        <v/>
      </c>
      <c r="AB78" t="n">
        <v/>
      </c>
    </row>
    <row r="79">
      <c r="A79" t="n">
        <v>16</v>
      </c>
      <c r="B79" t="inlineStr">
        <is>
          <t>RRP_MS_KMEANS_VNS</t>
        </is>
      </c>
      <c r="C79" t="inlineStr">
        <is>
          <t>MS_KMeans_VNS</t>
        </is>
      </c>
      <c r="D79" t="n">
        <v>1000</v>
      </c>
      <c r="E79" t="n">
        <v>1016</v>
      </c>
      <c r="F79" s="3" t="n">
        <v>649.6743273594532</v>
      </c>
      <c r="G79" s="3" t="n">
        <v>10097.7331416144</v>
      </c>
      <c r="H79" s="3" t="n">
        <v>5.245864900003653</v>
      </c>
      <c r="I79" t="n">
        <v>126</v>
      </c>
      <c r="J79" t="n">
        <v>1008</v>
      </c>
      <c r="K79" t="n">
        <v>8</v>
      </c>
      <c r="L79" s="4" t="n">
        <v>0.9921259842519685</v>
      </c>
      <c r="M79" s="3" t="n">
        <v>0.05169406992805822</v>
      </c>
      <c r="N79" s="3" t="n">
        <v>0.02621675361047853</v>
      </c>
      <c r="O79" s="3" t="n">
        <v>5.156145455233755</v>
      </c>
      <c r="P79" s="4" t="n">
        <v>0.8015873015873016</v>
      </c>
      <c r="Q79" t="n">
        <v>35</v>
      </c>
      <c r="R79" t="n">
        <v>34</v>
      </c>
      <c r="S79" t="n">
        <v>32</v>
      </c>
      <c r="T79" t="n">
        <v>25</v>
      </c>
      <c r="U79" t="n">
        <v>280</v>
      </c>
      <c r="V79" t="n">
        <v>272</v>
      </c>
      <c r="W79" t="n">
        <v>256</v>
      </c>
      <c r="X79" t="n">
        <v>200</v>
      </c>
      <c r="Y79" t="inlineStr">
        <is>
          <t>P1:35, P2:34, P3:32, P0:25</t>
        </is>
      </c>
      <c r="Z79" t="n">
        <v/>
      </c>
      <c r="AA79" t="n">
        <v/>
      </c>
      <c r="AB79" t="n">
        <v/>
      </c>
    </row>
    <row r="80">
      <c r="A80" t="n">
        <v>16</v>
      </c>
      <c r="B80" t="inlineStr">
        <is>
          <t>RRP_GA</t>
        </is>
      </c>
      <c r="C80" t="inlineStr">
        <is>
          <t>GA</t>
        </is>
      </c>
      <c r="D80" t="n">
        <v>1000</v>
      </c>
      <c r="E80" t="n">
        <v>1008</v>
      </c>
      <c r="F80" s="3" t="n">
        <v>644.5364979785336</v>
      </c>
      <c r="G80" s="3" t="n">
        <v>10163.03171294775</v>
      </c>
      <c r="H80" s="3" t="n">
        <v>5.61904130000039</v>
      </c>
      <c r="I80" t="n">
        <v>124</v>
      </c>
      <c r="J80" t="n">
        <v>992</v>
      </c>
      <c r="K80" t="n">
        <v>16</v>
      </c>
      <c r="L80" s="4" t="n">
        <v>0.9841269841269841</v>
      </c>
      <c r="M80" s="3" t="n">
        <v>0.07475839055910824</v>
      </c>
      <c r="N80" s="3" t="n">
        <v>0.02780420846697624</v>
      </c>
      <c r="O80" s="3" t="n">
        <v>5.197874983697852</v>
      </c>
      <c r="P80" s="4" t="n">
        <v>0.8145161290322581</v>
      </c>
      <c r="Q80" t="n">
        <v>33</v>
      </c>
      <c r="R80" t="n">
        <v>37</v>
      </c>
      <c r="S80" t="n">
        <v>31</v>
      </c>
      <c r="T80" t="n">
        <v>23</v>
      </c>
      <c r="U80" t="n">
        <v>264</v>
      </c>
      <c r="V80" t="n">
        <v>296</v>
      </c>
      <c r="W80" t="n">
        <v>248</v>
      </c>
      <c r="X80" t="n">
        <v>184</v>
      </c>
      <c r="Y80" t="inlineStr">
        <is>
          <t>P1:33, P2:37, P3:31, P0:23</t>
        </is>
      </c>
      <c r="Z80" t="n">
        <v/>
      </c>
      <c r="AA80" t="n">
        <v/>
      </c>
      <c r="AB80" t="n">
        <v/>
      </c>
    </row>
    <row r="81">
      <c r="A81" t="n">
        <v>16</v>
      </c>
      <c r="B81" t="inlineStr">
        <is>
          <t>RRP_SA</t>
        </is>
      </c>
      <c r="C81" t="inlineStr">
        <is>
          <t>SA</t>
        </is>
      </c>
      <c r="D81" t="n">
        <v>1000</v>
      </c>
      <c r="E81" t="n">
        <v>1008</v>
      </c>
      <c r="F81" s="3" t="n">
        <v>716.9991599693874</v>
      </c>
      <c r="G81" s="3" t="n">
        <v>11276.34348264436</v>
      </c>
      <c r="H81" s="3" t="n">
        <v>3.097130399997695</v>
      </c>
      <c r="I81" t="n">
        <v>125</v>
      </c>
      <c r="J81" t="n">
        <v>1000</v>
      </c>
      <c r="K81" t="n">
        <v>8</v>
      </c>
      <c r="L81" s="4" t="n">
        <v>0.9920634920634921</v>
      </c>
      <c r="M81" s="3" t="n">
        <v>0.4801344048980168</v>
      </c>
      <c r="N81" s="3" t="n">
        <v>0.01481448192352855</v>
      </c>
      <c r="O81" s="3" t="n">
        <v>5.735993279755099</v>
      </c>
      <c r="P81" s="4" t="n">
        <v>0.872</v>
      </c>
      <c r="Q81" t="n">
        <v>42</v>
      </c>
      <c r="R81" t="n">
        <v>33</v>
      </c>
      <c r="S81" t="n">
        <v>34</v>
      </c>
      <c r="T81" t="n">
        <v>16</v>
      </c>
      <c r="U81" t="n">
        <v>336</v>
      </c>
      <c r="V81" t="n">
        <v>264</v>
      </c>
      <c r="W81" t="n">
        <v>272</v>
      </c>
      <c r="X81" t="n">
        <v>128</v>
      </c>
      <c r="Y81" t="inlineStr">
        <is>
          <t>P1:42, P2:33, P3:34, P0:16</t>
        </is>
      </c>
      <c r="Z81" t="n">
        <v/>
      </c>
      <c r="AA81" t="n">
        <v/>
      </c>
      <c r="AB81" t="n">
        <v/>
      </c>
    </row>
    <row r="82">
      <c r="A82" t="n">
        <v>17</v>
      </c>
      <c r="B82" t="inlineStr">
        <is>
          <t>RRP_KMEANS</t>
        </is>
      </c>
      <c r="C82" t="inlineStr">
        <is>
          <t>KMeans</t>
        </is>
      </c>
      <c r="D82" t="n">
        <v>1000</v>
      </c>
      <c r="E82" t="n">
        <v>1016</v>
      </c>
      <c r="F82" s="3" t="n">
        <v>592.6704271666051</v>
      </c>
      <c r="G82" s="3" t="n">
        <v>10085.07614569458</v>
      </c>
      <c r="H82" s="3" t="n">
        <v>0.3459192000009352</v>
      </c>
      <c r="I82" t="n">
        <v>125</v>
      </c>
      <c r="J82" t="n">
        <v>1000</v>
      </c>
      <c r="K82" t="n">
        <v>16</v>
      </c>
      <c r="L82" s="4" t="n">
        <v>0.984251968503937</v>
      </c>
      <c r="M82" s="3" t="n">
        <v>0.05273165334317126</v>
      </c>
      <c r="N82" s="3" t="n">
        <v>-0.00558466384964974</v>
      </c>
      <c r="O82" s="3" t="n">
        <v>4.741363417332841</v>
      </c>
      <c r="P82" s="4" t="n">
        <v>0.76</v>
      </c>
      <c r="Q82" t="n">
        <v>29</v>
      </c>
      <c r="R82" t="n">
        <v>35</v>
      </c>
      <c r="S82" t="n">
        <v>31</v>
      </c>
      <c r="T82" t="n">
        <v>30</v>
      </c>
      <c r="U82" t="n">
        <v>232</v>
      </c>
      <c r="V82" t="n">
        <v>280</v>
      </c>
      <c r="W82" t="n">
        <v>248</v>
      </c>
      <c r="X82" t="n">
        <v>240</v>
      </c>
      <c r="Y82" t="inlineStr">
        <is>
          <t>P1:29, P2:35, P3:31, P0:30</t>
        </is>
      </c>
      <c r="Z82" t="n">
        <v/>
      </c>
      <c r="AA82" t="n">
        <v/>
      </c>
      <c r="AB82" t="n">
        <v/>
      </c>
    </row>
    <row r="83">
      <c r="A83" t="n">
        <v>17</v>
      </c>
      <c r="B83" t="inlineStr">
        <is>
          <t>RRP_KMEANS_VNS</t>
        </is>
      </c>
      <c r="C83" t="inlineStr">
        <is>
          <t>KMeans_VNS</t>
        </is>
      </c>
      <c r="D83" t="n">
        <v>1000</v>
      </c>
      <c r="E83" t="n">
        <v>1016</v>
      </c>
      <c r="F83" s="3" t="n">
        <v>638.5536315258676</v>
      </c>
      <c r="G83" s="3" t="n">
        <v>10808.05848291748</v>
      </c>
      <c r="H83" s="3" t="n">
        <v>8.237924500004738</v>
      </c>
      <c r="I83" t="n">
        <v>126</v>
      </c>
      <c r="J83" t="n">
        <v>1008</v>
      </c>
      <c r="K83" t="n">
        <v>8</v>
      </c>
      <c r="L83" s="4" t="n">
        <v>0.9921259842519685</v>
      </c>
      <c r="M83" s="3" t="n">
        <v>0.07085213875118619</v>
      </c>
      <c r="N83" s="3" t="n">
        <v>-0.0005774140480080307</v>
      </c>
      <c r="O83" s="3" t="n">
        <v>5.067885964491013</v>
      </c>
      <c r="P83" s="4" t="n">
        <v>0.8095238095238095</v>
      </c>
      <c r="Q83" t="n">
        <v>33</v>
      </c>
      <c r="R83" t="n">
        <v>34</v>
      </c>
      <c r="S83" t="n">
        <v>35</v>
      </c>
      <c r="T83" t="n">
        <v>24</v>
      </c>
      <c r="U83" t="n">
        <v>264</v>
      </c>
      <c r="V83" t="n">
        <v>272</v>
      </c>
      <c r="W83" t="n">
        <v>280</v>
      </c>
      <c r="X83" t="n">
        <v>192</v>
      </c>
      <c r="Y83" t="inlineStr">
        <is>
          <t>P1:33, P2:34, P3:35, P0:24</t>
        </is>
      </c>
      <c r="Z83" t="n">
        <v/>
      </c>
      <c r="AA83" t="n">
        <v/>
      </c>
      <c r="AB83" t="n">
        <v/>
      </c>
    </row>
    <row r="84">
      <c r="A84" t="n">
        <v>17</v>
      </c>
      <c r="B84" t="inlineStr">
        <is>
          <t>RRP_MS_KMEANS_VNS</t>
        </is>
      </c>
      <c r="C84" t="inlineStr">
        <is>
          <t>MS_KMeans_VNS</t>
        </is>
      </c>
      <c r="D84" t="n">
        <v>1000</v>
      </c>
      <c r="E84" t="n">
        <v>1008</v>
      </c>
      <c r="F84" s="3" t="n">
        <v>629.6906997669735</v>
      </c>
      <c r="G84" s="3" t="n">
        <v>10727.42384138138</v>
      </c>
      <c r="H84" s="3" t="n">
        <v>6.007617999988724</v>
      </c>
      <c r="I84" t="n">
        <v>125</v>
      </c>
      <c r="J84" t="n">
        <v>1000</v>
      </c>
      <c r="K84" t="n">
        <v>8</v>
      </c>
      <c r="L84" s="4" t="n">
        <v>0.9920634920634921</v>
      </c>
      <c r="M84" s="3" t="n">
        <v>0.04948803728423754</v>
      </c>
      <c r="N84" s="3" t="n">
        <v>-0.0006528049868660535</v>
      </c>
      <c r="O84" s="3" t="n">
        <v>5.037525598135788</v>
      </c>
      <c r="P84" s="4" t="n">
        <v>0.792</v>
      </c>
      <c r="Q84" t="n">
        <v>33</v>
      </c>
      <c r="R84" t="n">
        <v>34</v>
      </c>
      <c r="S84" t="n">
        <v>32</v>
      </c>
      <c r="T84" t="n">
        <v>26</v>
      </c>
      <c r="U84" t="n">
        <v>264</v>
      </c>
      <c r="V84" t="n">
        <v>272</v>
      </c>
      <c r="W84" t="n">
        <v>256</v>
      </c>
      <c r="X84" t="n">
        <v>208</v>
      </c>
      <c r="Y84" t="inlineStr">
        <is>
          <t>P1:33, P2:34, P3:32, P0:26</t>
        </is>
      </c>
      <c r="Z84" t="n">
        <v/>
      </c>
      <c r="AA84" t="n">
        <v/>
      </c>
      <c r="AB84" t="n">
        <v/>
      </c>
    </row>
    <row r="85">
      <c r="A85" t="n">
        <v>17</v>
      </c>
      <c r="B85" t="inlineStr">
        <is>
          <t>RRP_GA</t>
        </is>
      </c>
      <c r="C85" t="inlineStr">
        <is>
          <t>GA</t>
        </is>
      </c>
      <c r="D85" t="n">
        <v>1000</v>
      </c>
      <c r="E85" t="n">
        <v>1016</v>
      </c>
      <c r="F85" s="3" t="n">
        <v>640.5392159797228</v>
      </c>
      <c r="G85" s="3" t="n">
        <v>10803.57092892747</v>
      </c>
      <c r="H85" s="3" t="n">
        <v>5.662469399991096</v>
      </c>
      <c r="I85" t="n">
        <v>125</v>
      </c>
      <c r="J85" t="n">
        <v>1000</v>
      </c>
      <c r="K85" t="n">
        <v>16</v>
      </c>
      <c r="L85" s="4" t="n">
        <v>0.984251968503937</v>
      </c>
      <c r="M85" s="3" t="n">
        <v>0.07372544324433186</v>
      </c>
      <c r="N85" s="3" t="n">
        <v>0.006918083473247573</v>
      </c>
      <c r="O85" s="3" t="n">
        <v>5.124313727837783</v>
      </c>
      <c r="P85" s="4" t="n">
        <v>0.8080000000000001</v>
      </c>
      <c r="Q85" t="n">
        <v>32</v>
      </c>
      <c r="R85" t="n">
        <v>38</v>
      </c>
      <c r="S85" t="n">
        <v>31</v>
      </c>
      <c r="T85" t="n">
        <v>24</v>
      </c>
      <c r="U85" t="n">
        <v>256</v>
      </c>
      <c r="V85" t="n">
        <v>304</v>
      </c>
      <c r="W85" t="n">
        <v>248</v>
      </c>
      <c r="X85" t="n">
        <v>192</v>
      </c>
      <c r="Y85" t="inlineStr">
        <is>
          <t>P1:32, P2:38, P3:31, P0:24</t>
        </is>
      </c>
      <c r="Z85" t="n">
        <v/>
      </c>
      <c r="AA85" t="n">
        <v/>
      </c>
      <c r="AB85" t="n">
        <v/>
      </c>
    </row>
    <row r="86">
      <c r="A86" t="n">
        <v>17</v>
      </c>
      <c r="B86" t="inlineStr">
        <is>
          <t>RRP_SA</t>
        </is>
      </c>
      <c r="C86" t="inlineStr">
        <is>
          <t>SA</t>
        </is>
      </c>
      <c r="D86" t="n">
        <v>1000</v>
      </c>
      <c r="E86" t="n">
        <v>1008</v>
      </c>
      <c r="F86" s="3" t="n">
        <v>705.9514994050169</v>
      </c>
      <c r="G86" s="3" t="n">
        <v>11982.29498204938</v>
      </c>
      <c r="H86" s="3" t="n">
        <v>3.234983899994404</v>
      </c>
      <c r="I86" t="n">
        <v>125</v>
      </c>
      <c r="J86" t="n">
        <v>1000</v>
      </c>
      <c r="K86" t="n">
        <v>8</v>
      </c>
      <c r="L86" s="4" t="n">
        <v>0.9920634920634921</v>
      </c>
      <c r="M86" s="3" t="n">
        <v>0.4877600951972954</v>
      </c>
      <c r="N86" s="3" t="n">
        <v>0.009066912339684288</v>
      </c>
      <c r="O86" s="3" t="n">
        <v>5.647611995240135</v>
      </c>
      <c r="P86" s="4" t="n">
        <v>0.872</v>
      </c>
      <c r="Q86" t="n">
        <v>37</v>
      </c>
      <c r="R86" t="n">
        <v>41</v>
      </c>
      <c r="S86" t="n">
        <v>31</v>
      </c>
      <c r="T86" t="n">
        <v>16</v>
      </c>
      <c r="U86" t="n">
        <v>296</v>
      </c>
      <c r="V86" t="n">
        <v>328</v>
      </c>
      <c r="W86" t="n">
        <v>248</v>
      </c>
      <c r="X86" t="n">
        <v>128</v>
      </c>
      <c r="Y86" t="inlineStr">
        <is>
          <t>P1:37, P2:41, P3:31, P0:16</t>
        </is>
      </c>
      <c r="Z86" t="n">
        <v/>
      </c>
      <c r="AA86" t="n">
        <v/>
      </c>
      <c r="AB86" t="n">
        <v/>
      </c>
    </row>
    <row r="87">
      <c r="A87" t="n">
        <v>18</v>
      </c>
      <c r="B87" t="inlineStr">
        <is>
          <t>RRP_KMEANS</t>
        </is>
      </c>
      <c r="C87" t="inlineStr">
        <is>
          <t>KMeans</t>
        </is>
      </c>
      <c r="D87" t="n">
        <v>1000</v>
      </c>
      <c r="E87" t="n">
        <v>1016</v>
      </c>
      <c r="F87" s="3" t="n">
        <v>582.7023584381714</v>
      </c>
      <c r="G87" s="3" t="n">
        <v>10667.77850413275</v>
      </c>
      <c r="H87" s="3" t="n">
        <v>0.213416500002495</v>
      </c>
      <c r="I87" t="n">
        <v>125</v>
      </c>
      <c r="J87" t="n">
        <v>1000</v>
      </c>
      <c r="K87" t="n">
        <v>16</v>
      </c>
      <c r="L87" s="4" t="n">
        <v>0.984251968503937</v>
      </c>
      <c r="M87" s="3" t="n">
        <v>0.04762264989259397</v>
      </c>
      <c r="N87" s="3" t="n">
        <v>-0.01727181757854507</v>
      </c>
      <c r="O87" s="3" t="n">
        <v>4.66161886750537</v>
      </c>
      <c r="P87" s="4" t="n">
        <v>0.768</v>
      </c>
      <c r="Q87" t="n">
        <v>28</v>
      </c>
      <c r="R87" t="n">
        <v>33</v>
      </c>
      <c r="S87" t="n">
        <v>35</v>
      </c>
      <c r="T87" t="n">
        <v>29</v>
      </c>
      <c r="U87" t="n">
        <v>224</v>
      </c>
      <c r="V87" t="n">
        <v>264</v>
      </c>
      <c r="W87" t="n">
        <v>280</v>
      </c>
      <c r="X87" t="n">
        <v>232</v>
      </c>
      <c r="Y87" t="inlineStr">
        <is>
          <t>P1:28, P2:33, P3:35, P0:29</t>
        </is>
      </c>
      <c r="Z87" t="n">
        <v/>
      </c>
      <c r="AA87" t="n">
        <v/>
      </c>
      <c r="AB87" t="n">
        <v/>
      </c>
    </row>
    <row r="88">
      <c r="A88" t="n">
        <v>18</v>
      </c>
      <c r="B88" t="inlineStr">
        <is>
          <t>RRP_KMEANS_VNS</t>
        </is>
      </c>
      <c r="C88" t="inlineStr">
        <is>
          <t>KMeans_VNS</t>
        </is>
      </c>
      <c r="D88" t="n">
        <v>1000</v>
      </c>
      <c r="E88" t="n">
        <v>1008</v>
      </c>
      <c r="F88" s="3" t="n">
        <v>628.5593882238023</v>
      </c>
      <c r="G88" s="3" t="n">
        <v>11436.61787114128</v>
      </c>
      <c r="H88" s="3" t="n">
        <v>7.987832299986621</v>
      </c>
      <c r="I88" t="n">
        <v>125</v>
      </c>
      <c r="J88" t="n">
        <v>1000</v>
      </c>
      <c r="K88" t="n">
        <v>8</v>
      </c>
      <c r="L88" s="4" t="n">
        <v>0.9920634920634921</v>
      </c>
      <c r="M88" s="3" t="n">
        <v>0.0704978841916284</v>
      </c>
      <c r="N88" s="3" t="n">
        <v>-0.008378021319308147</v>
      </c>
      <c r="O88" s="3" t="n">
        <v>5.028475105790418</v>
      </c>
      <c r="P88" s="4" t="n">
        <v>0.824</v>
      </c>
      <c r="Q88" t="n">
        <v>32</v>
      </c>
      <c r="R88" t="n">
        <v>32</v>
      </c>
      <c r="S88" t="n">
        <v>39</v>
      </c>
      <c r="T88" t="n">
        <v>22</v>
      </c>
      <c r="U88" t="n">
        <v>256</v>
      </c>
      <c r="V88" t="n">
        <v>256</v>
      </c>
      <c r="W88" t="n">
        <v>312</v>
      </c>
      <c r="X88" t="n">
        <v>176</v>
      </c>
      <c r="Y88" t="inlineStr">
        <is>
          <t>P1:32, P2:32, P3:39, P0:22</t>
        </is>
      </c>
      <c r="Z88" t="n">
        <v/>
      </c>
      <c r="AA88" t="n">
        <v/>
      </c>
      <c r="AB88" t="n">
        <v/>
      </c>
    </row>
    <row r="89">
      <c r="A89" t="n">
        <v>18</v>
      </c>
      <c r="B89" t="inlineStr">
        <is>
          <t>RRP_MS_KMEANS_VNS</t>
        </is>
      </c>
      <c r="C89" t="inlineStr">
        <is>
          <t>MS_KMeans_VNS</t>
        </is>
      </c>
      <c r="D89" t="n">
        <v>1000</v>
      </c>
      <c r="E89" t="n">
        <v>1008</v>
      </c>
      <c r="F89" s="3" t="n">
        <v>621.7308650538591</v>
      </c>
      <c r="G89" s="3" t="n">
        <v>11349.15470643524</v>
      </c>
      <c r="H89" s="3" t="n">
        <v>5.088206300002639</v>
      </c>
      <c r="I89" t="n">
        <v>124</v>
      </c>
      <c r="J89" t="n">
        <v>992</v>
      </c>
      <c r="K89" t="n">
        <v>16</v>
      </c>
      <c r="L89" s="4" t="n">
        <v>0.9841269841269841</v>
      </c>
      <c r="M89" s="3" t="n">
        <v>0.04340886228077612</v>
      </c>
      <c r="N89" s="3" t="n">
        <v>-0.02704067912690345</v>
      </c>
      <c r="O89" s="3" t="n">
        <v>5.013958589144026</v>
      </c>
      <c r="P89" s="4" t="n">
        <v>0.8225806451612904</v>
      </c>
      <c r="Q89" t="n">
        <v>31</v>
      </c>
      <c r="R89" t="n">
        <v>33</v>
      </c>
      <c r="S89" t="n">
        <v>38</v>
      </c>
      <c r="T89" t="n">
        <v>22</v>
      </c>
      <c r="U89" t="n">
        <v>248</v>
      </c>
      <c r="V89" t="n">
        <v>264</v>
      </c>
      <c r="W89" t="n">
        <v>304</v>
      </c>
      <c r="X89" t="n">
        <v>176</v>
      </c>
      <c r="Y89" t="inlineStr">
        <is>
          <t>P1:31, P2:33, P3:38, P0:22</t>
        </is>
      </c>
      <c r="Z89" t="n">
        <v/>
      </c>
      <c r="AA89" t="n">
        <v/>
      </c>
      <c r="AB89" t="n">
        <v/>
      </c>
    </row>
    <row r="90">
      <c r="A90" t="n">
        <v>18</v>
      </c>
      <c r="B90" t="inlineStr">
        <is>
          <t>RRP_GA</t>
        </is>
      </c>
      <c r="C90" t="inlineStr">
        <is>
          <t>GA</t>
        </is>
      </c>
      <c r="D90" t="n">
        <v>1000</v>
      </c>
      <c r="E90" t="n">
        <v>1016</v>
      </c>
      <c r="F90" s="3" t="n">
        <v>623.6623022651687</v>
      </c>
      <c r="G90" s="3" t="n">
        <v>11427.23323119264</v>
      </c>
      <c r="H90" s="3" t="n">
        <v>4.431260900004418</v>
      </c>
      <c r="I90" t="n">
        <v>127</v>
      </c>
      <c r="J90" t="n">
        <v>1016</v>
      </c>
      <c r="K90" t="n">
        <v>0</v>
      </c>
      <c r="L90" s="4" t="n">
        <v>1</v>
      </c>
      <c r="M90" s="3" t="n">
        <v>0.05318074564271561</v>
      </c>
      <c r="N90" s="3" t="n">
        <v>-0.008200372970220995</v>
      </c>
      <c r="O90" s="3" t="n">
        <v>4.910726789489518</v>
      </c>
      <c r="P90" s="4" t="n">
        <v>0.8110236220472441</v>
      </c>
      <c r="Q90" t="n">
        <v>30</v>
      </c>
      <c r="R90" t="n">
        <v>35</v>
      </c>
      <c r="S90" t="n">
        <v>38</v>
      </c>
      <c r="T90" t="n">
        <v>24</v>
      </c>
      <c r="U90" t="n">
        <v>240</v>
      </c>
      <c r="V90" t="n">
        <v>280</v>
      </c>
      <c r="W90" t="n">
        <v>304</v>
      </c>
      <c r="X90" t="n">
        <v>192</v>
      </c>
      <c r="Y90" t="inlineStr">
        <is>
          <t>P1:30, P2:35, P3:38, P0:24</t>
        </is>
      </c>
      <c r="Z90" t="n">
        <v/>
      </c>
      <c r="AA90" t="n">
        <v/>
      </c>
      <c r="AB90" t="n">
        <v/>
      </c>
    </row>
    <row r="91">
      <c r="A91" t="n">
        <v>18</v>
      </c>
      <c r="B91" t="inlineStr">
        <is>
          <t>RRP_SA</t>
        </is>
      </c>
      <c r="C91" t="inlineStr">
        <is>
          <t>SA</t>
        </is>
      </c>
      <c r="D91" t="n">
        <v>1000</v>
      </c>
      <c r="E91" t="n">
        <v>1008</v>
      </c>
      <c r="F91" s="3" t="n">
        <v>699.0301576438444</v>
      </c>
      <c r="G91" s="3" t="n">
        <v>12681.32513969323</v>
      </c>
      <c r="H91" s="3" t="n">
        <v>3.174165399992489</v>
      </c>
      <c r="I91" t="n">
        <v>126</v>
      </c>
      <c r="J91" t="n">
        <v>1008</v>
      </c>
      <c r="K91" t="n">
        <v>0</v>
      </c>
      <c r="L91" s="4" t="n">
        <v>1</v>
      </c>
      <c r="M91" s="3" t="n">
        <v>0.4714035485961287</v>
      </c>
      <c r="N91" s="3" t="n">
        <v>-0.01480311711705028</v>
      </c>
      <c r="O91" s="3" t="n">
        <v>5.547858393998765</v>
      </c>
      <c r="P91" s="4" t="n">
        <v>0.9126984126984127</v>
      </c>
      <c r="Q91" t="n">
        <v>33</v>
      </c>
      <c r="R91" t="n">
        <v>42</v>
      </c>
      <c r="S91" t="n">
        <v>40</v>
      </c>
      <c r="T91" t="n">
        <v>11</v>
      </c>
      <c r="U91" t="n">
        <v>264</v>
      </c>
      <c r="V91" t="n">
        <v>336</v>
      </c>
      <c r="W91" t="n">
        <v>320</v>
      </c>
      <c r="X91" t="n">
        <v>88</v>
      </c>
      <c r="Y91" t="inlineStr">
        <is>
          <t>P1:33, P2:42, P3:40, P0:11</t>
        </is>
      </c>
      <c r="Z91" t="n">
        <v/>
      </c>
      <c r="AA91" t="n">
        <v/>
      </c>
      <c r="AB91" t="n">
        <v/>
      </c>
    </row>
    <row r="92">
      <c r="A92" t="n">
        <v>19</v>
      </c>
      <c r="B92" t="inlineStr">
        <is>
          <t>RRP_KMEANS</t>
        </is>
      </c>
      <c r="C92" t="inlineStr">
        <is>
          <t>KMeans</t>
        </is>
      </c>
      <c r="D92" t="n">
        <v>1000</v>
      </c>
      <c r="E92" t="n">
        <v>1016</v>
      </c>
      <c r="F92" s="3" t="n">
        <v>606.6322113717642</v>
      </c>
      <c r="G92" s="3" t="n">
        <v>11274.41071550451</v>
      </c>
      <c r="H92" s="3" t="n">
        <v>0.2439004000043496</v>
      </c>
      <c r="I92" t="n">
        <v>125</v>
      </c>
      <c r="J92" t="n">
        <v>1000</v>
      </c>
      <c r="K92" t="n">
        <v>16</v>
      </c>
      <c r="L92" s="4" t="n">
        <v>0.984251968503937</v>
      </c>
      <c r="M92" s="3" t="n">
        <v>0.058846180517737</v>
      </c>
      <c r="N92" s="3" t="n">
        <v>0.02109986693385668</v>
      </c>
      <c r="O92" s="3" t="n">
        <v>4.853057690974114</v>
      </c>
      <c r="P92" s="4" t="n">
        <v>0.776</v>
      </c>
      <c r="Q92" t="n">
        <v>31</v>
      </c>
      <c r="R92" t="n">
        <v>33</v>
      </c>
      <c r="S92" t="n">
        <v>33</v>
      </c>
      <c r="T92" t="n">
        <v>28</v>
      </c>
      <c r="U92" t="n">
        <v>248</v>
      </c>
      <c r="V92" t="n">
        <v>264</v>
      </c>
      <c r="W92" t="n">
        <v>264</v>
      </c>
      <c r="X92" t="n">
        <v>224</v>
      </c>
      <c r="Y92" t="inlineStr">
        <is>
          <t>P1:31, P2:33, P3:33, P0:28</t>
        </is>
      </c>
      <c r="Z92" t="n">
        <v/>
      </c>
      <c r="AA92" t="n">
        <v/>
      </c>
      <c r="AB92" t="n">
        <v/>
      </c>
    </row>
    <row r="93">
      <c r="A93" t="n">
        <v>19</v>
      </c>
      <c r="B93" t="inlineStr">
        <is>
          <t>RRP_KMEANS_VNS</t>
        </is>
      </c>
      <c r="C93" t="inlineStr">
        <is>
          <t>KMeans_VNS</t>
        </is>
      </c>
      <c r="D93" t="n">
        <v>1000</v>
      </c>
      <c r="E93" t="n">
        <v>1008</v>
      </c>
      <c r="F93" s="3" t="n">
        <v>636.6256902087667</v>
      </c>
      <c r="G93" s="3" t="n">
        <v>12073.24356135005</v>
      </c>
      <c r="H93" s="3" t="n">
        <v>10.05387340000016</v>
      </c>
      <c r="I93" t="n">
        <v>124</v>
      </c>
      <c r="J93" t="n">
        <v>992</v>
      </c>
      <c r="K93" t="n">
        <v>16</v>
      </c>
      <c r="L93" s="4" t="n">
        <v>0.9841269841269841</v>
      </c>
      <c r="M93" s="3" t="n">
        <v>0.06037254697312249</v>
      </c>
      <c r="N93" s="3" t="n">
        <v>0.03304173220319931</v>
      </c>
      <c r="O93" s="3" t="n">
        <v>5.134078146844893</v>
      </c>
      <c r="P93" s="4" t="n">
        <v>0.8225806451612904</v>
      </c>
      <c r="Q93" t="n">
        <v>31</v>
      </c>
      <c r="R93" t="n">
        <v>38</v>
      </c>
      <c r="S93" t="n">
        <v>33</v>
      </c>
      <c r="T93" t="n">
        <v>22</v>
      </c>
      <c r="U93" t="n">
        <v>248</v>
      </c>
      <c r="V93" t="n">
        <v>304</v>
      </c>
      <c r="W93" t="n">
        <v>264</v>
      </c>
      <c r="X93" t="n">
        <v>176</v>
      </c>
      <c r="Y93" t="inlineStr">
        <is>
          <t>P1:31, P2:38, P3:33, P0:22</t>
        </is>
      </c>
      <c r="Z93" t="n">
        <v/>
      </c>
      <c r="AA93" t="n">
        <v/>
      </c>
      <c r="AB93" t="n">
        <v/>
      </c>
    </row>
    <row r="94">
      <c r="A94" t="n">
        <v>19</v>
      </c>
      <c r="B94" t="inlineStr">
        <is>
          <t>RRP_MS_KMEANS_VNS</t>
        </is>
      </c>
      <c r="C94" t="inlineStr">
        <is>
          <t>MS_KMeans_VNS</t>
        </is>
      </c>
      <c r="D94" t="n">
        <v>1000</v>
      </c>
      <c r="E94" t="n">
        <v>1016</v>
      </c>
      <c r="F94" s="3" t="n">
        <v>654.6090378925423</v>
      </c>
      <c r="G94" s="3" t="n">
        <v>12003.76374432778</v>
      </c>
      <c r="H94" s="3" t="n">
        <v>6.664186399997561</v>
      </c>
      <c r="I94" t="n">
        <v>125</v>
      </c>
      <c r="J94" t="n">
        <v>1000</v>
      </c>
      <c r="K94" t="n">
        <v>16</v>
      </c>
      <c r="L94" s="4" t="n">
        <v>0.984251968503937</v>
      </c>
      <c r="M94" s="3" t="n">
        <v>0.06255393719323987</v>
      </c>
      <c r="N94" s="3" t="n">
        <v>0.02370899962125887</v>
      </c>
      <c r="O94" s="3" t="n">
        <v>5.236872303140339</v>
      </c>
      <c r="P94" s="4" t="n">
        <v>0.832</v>
      </c>
      <c r="Q94" t="n">
        <v>34</v>
      </c>
      <c r="R94" t="n">
        <v>35</v>
      </c>
      <c r="S94" t="n">
        <v>35</v>
      </c>
      <c r="T94" t="n">
        <v>21</v>
      </c>
      <c r="U94" t="n">
        <v>272</v>
      </c>
      <c r="V94" t="n">
        <v>280</v>
      </c>
      <c r="W94" t="n">
        <v>280</v>
      </c>
      <c r="X94" t="n">
        <v>168</v>
      </c>
      <c r="Y94" t="inlineStr">
        <is>
          <t>P1:34, P2:35, P3:35, P0:21</t>
        </is>
      </c>
      <c r="Z94" t="n">
        <v/>
      </c>
      <c r="AA94" t="n">
        <v/>
      </c>
      <c r="AB94" t="n">
        <v/>
      </c>
    </row>
    <row r="95">
      <c r="A95" t="n">
        <v>19</v>
      </c>
      <c r="B95" t="inlineStr">
        <is>
          <t>RRP_GA</t>
        </is>
      </c>
      <c r="C95" t="inlineStr">
        <is>
          <t>GA</t>
        </is>
      </c>
      <c r="D95" t="n">
        <v>1000</v>
      </c>
      <c r="E95" t="n">
        <v>1000</v>
      </c>
      <c r="F95" s="3" t="n">
        <v>636.464557852877</v>
      </c>
      <c r="G95" s="3" t="n">
        <v>12063.69778904552</v>
      </c>
      <c r="H95" s="3" t="n">
        <v>5.715043799995328</v>
      </c>
      <c r="I95" t="n">
        <v>124</v>
      </c>
      <c r="J95" t="n">
        <v>992</v>
      </c>
      <c r="K95" t="n">
        <v>8</v>
      </c>
      <c r="L95" s="4" t="n">
        <v>0.992</v>
      </c>
      <c r="M95" s="3" t="n">
        <v>0.0863616366327556</v>
      </c>
      <c r="N95" s="3" t="n">
        <v>0.003197914905664234</v>
      </c>
      <c r="O95" s="3" t="n">
        <v>5.132778692361911</v>
      </c>
      <c r="P95" s="4" t="n">
        <v>0.8306451612903226</v>
      </c>
      <c r="Q95" t="n">
        <v>31</v>
      </c>
      <c r="R95" t="n">
        <v>37</v>
      </c>
      <c r="S95" t="n">
        <v>35</v>
      </c>
      <c r="T95" t="n">
        <v>21</v>
      </c>
      <c r="U95" t="n">
        <v>248</v>
      </c>
      <c r="V95" t="n">
        <v>296</v>
      </c>
      <c r="W95" t="n">
        <v>280</v>
      </c>
      <c r="X95" t="n">
        <v>168</v>
      </c>
      <c r="Y95" t="inlineStr">
        <is>
          <t>P1:31, P2:37, P3:35, P0:21</t>
        </is>
      </c>
      <c r="Z95" t="n">
        <v/>
      </c>
      <c r="AA95" t="n">
        <v/>
      </c>
      <c r="AB95" t="n">
        <v/>
      </c>
    </row>
    <row r="96">
      <c r="A96" t="n">
        <v>19</v>
      </c>
      <c r="B96" t="inlineStr">
        <is>
          <t>RRP_SA</t>
        </is>
      </c>
      <c r="C96" t="inlineStr">
        <is>
          <t>SA</t>
        </is>
      </c>
      <c r="D96" t="n">
        <v>1000</v>
      </c>
      <c r="E96" t="n">
        <v>1000</v>
      </c>
      <c r="F96" s="3" t="n">
        <v>696.142762086115</v>
      </c>
      <c r="G96" s="3" t="n">
        <v>13377.46790177934</v>
      </c>
      <c r="H96" s="3" t="n">
        <v>3.310648099999526</v>
      </c>
      <c r="I96" t="n">
        <v>124</v>
      </c>
      <c r="J96" t="n">
        <v>992</v>
      </c>
      <c r="K96" t="n">
        <v>8</v>
      </c>
      <c r="L96" s="4" t="n">
        <v>0.992</v>
      </c>
      <c r="M96" s="3" t="n">
        <v>0.4608448248201679</v>
      </c>
      <c r="N96" s="3" t="n">
        <v>0.01165285265144703</v>
      </c>
      <c r="O96" s="3" t="n">
        <v>5.61405453295254</v>
      </c>
      <c r="P96" s="4" t="n">
        <v>0.8951612903225806</v>
      </c>
      <c r="Q96" t="n">
        <v>36</v>
      </c>
      <c r="R96" t="n">
        <v>38</v>
      </c>
      <c r="S96" t="n">
        <v>37</v>
      </c>
      <c r="T96" t="n">
        <v>13</v>
      </c>
      <c r="U96" t="n">
        <v>288</v>
      </c>
      <c r="V96" t="n">
        <v>304</v>
      </c>
      <c r="W96" t="n">
        <v>296</v>
      </c>
      <c r="X96" t="n">
        <v>104</v>
      </c>
      <c r="Y96" t="inlineStr">
        <is>
          <t>P1:36, P2:38, P3:37, P0:13</t>
        </is>
      </c>
      <c r="Z96" t="n">
        <v/>
      </c>
      <c r="AA96" t="n">
        <v/>
      </c>
      <c r="AB96" t="n">
        <v/>
      </c>
    </row>
    <row r="97">
      <c r="A97" t="n">
        <v>20</v>
      </c>
      <c r="B97" t="inlineStr">
        <is>
          <t>RRP_KMEANS</t>
        </is>
      </c>
      <c r="C97" t="inlineStr">
        <is>
          <t>KMeans</t>
        </is>
      </c>
      <c r="D97" t="n">
        <v>1000</v>
      </c>
      <c r="E97" t="n">
        <v>1016</v>
      </c>
      <c r="F97" s="3" t="n">
        <v>582.5754619049424</v>
      </c>
      <c r="G97" s="3" t="n">
        <v>11856.98617740946</v>
      </c>
      <c r="H97" s="3" t="n">
        <v>0.1389426999958232</v>
      </c>
      <c r="I97" t="n">
        <v>127</v>
      </c>
      <c r="J97" t="n">
        <v>1016</v>
      </c>
      <c r="K97" t="n">
        <v>0</v>
      </c>
      <c r="L97" s="4" t="n">
        <v>1</v>
      </c>
      <c r="M97" s="3" t="n">
        <v>0.06685639292244651</v>
      </c>
      <c r="N97" s="3" t="n">
        <v>-0.02258929321863515</v>
      </c>
      <c r="O97" s="3" t="n">
        <v>4.587208361456239</v>
      </c>
      <c r="P97" s="4" t="n">
        <v>0.7559055118110236</v>
      </c>
      <c r="Q97" t="n">
        <v>28</v>
      </c>
      <c r="R97" t="n">
        <v>33</v>
      </c>
      <c r="S97" t="n">
        <v>35</v>
      </c>
      <c r="T97" t="n">
        <v>31</v>
      </c>
      <c r="U97" t="n">
        <v>224</v>
      </c>
      <c r="V97" t="n">
        <v>264</v>
      </c>
      <c r="W97" t="n">
        <v>280</v>
      </c>
      <c r="X97" t="n">
        <v>248</v>
      </c>
      <c r="Y97" t="inlineStr">
        <is>
          <t>P1:28, P2:33, P3:35, P0:31</t>
        </is>
      </c>
      <c r="Z97" t="n">
        <v/>
      </c>
      <c r="AA97" t="n">
        <v/>
      </c>
      <c r="AB97" t="n">
        <v/>
      </c>
    </row>
    <row r="98">
      <c r="A98" t="n">
        <v>20</v>
      </c>
      <c r="B98" t="inlineStr">
        <is>
          <t>RRP_KMEANS_VNS</t>
        </is>
      </c>
      <c r="C98" t="inlineStr">
        <is>
          <t>KMeans_VNS</t>
        </is>
      </c>
      <c r="D98" t="n">
        <v>1000</v>
      </c>
      <c r="E98" t="n">
        <v>1016</v>
      </c>
      <c r="F98" s="3" t="n">
        <v>618.6065652619092</v>
      </c>
      <c r="G98" s="3" t="n">
        <v>12691.85012661196</v>
      </c>
      <c r="H98" s="3" t="n">
        <v>8.702066700003343</v>
      </c>
      <c r="I98" t="n">
        <v>126</v>
      </c>
      <c r="J98" t="n">
        <v>1008</v>
      </c>
      <c r="K98" t="n">
        <v>8</v>
      </c>
      <c r="L98" s="4" t="n">
        <v>0.9921259842519685</v>
      </c>
      <c r="M98" s="3" t="n">
        <v>0.06244995842711776</v>
      </c>
      <c r="N98" s="3" t="n">
        <v>-0.03135876591238664</v>
      </c>
      <c r="O98" s="3" t="n">
        <v>4.909575914777057</v>
      </c>
      <c r="P98" s="4" t="n">
        <v>0.7857142857142857</v>
      </c>
      <c r="Q98" t="n">
        <v>31</v>
      </c>
      <c r="R98" t="n">
        <v>35</v>
      </c>
      <c r="S98" t="n">
        <v>33</v>
      </c>
      <c r="T98" t="n">
        <v>27</v>
      </c>
      <c r="U98" t="n">
        <v>248</v>
      </c>
      <c r="V98" t="n">
        <v>280</v>
      </c>
      <c r="W98" t="n">
        <v>264</v>
      </c>
      <c r="X98" t="n">
        <v>216</v>
      </c>
      <c r="Y98" t="inlineStr">
        <is>
          <t>P1:31, P2:35, P3:33, P0:27</t>
        </is>
      </c>
      <c r="Z98" t="n">
        <v/>
      </c>
      <c r="AA98" t="n">
        <v/>
      </c>
      <c r="AB98" t="n">
        <v/>
      </c>
    </row>
    <row r="99">
      <c r="A99" t="n">
        <v>20</v>
      </c>
      <c r="B99" t="inlineStr">
        <is>
          <t>RRP_MS_KMEANS_VNS</t>
        </is>
      </c>
      <c r="C99" t="inlineStr">
        <is>
          <t>MS_KMeans_VNS</t>
        </is>
      </c>
      <c r="D99" t="n">
        <v>1000</v>
      </c>
      <c r="E99" t="n">
        <v>1016</v>
      </c>
      <c r="F99" s="3" t="n">
        <v>608.6384068708127</v>
      </c>
      <c r="G99" s="3" t="n">
        <v>12612.40215119859</v>
      </c>
      <c r="H99" s="3" t="n">
        <v>6.802616199987824</v>
      </c>
      <c r="I99" t="n">
        <v>125</v>
      </c>
      <c r="J99" t="n">
        <v>1000</v>
      </c>
      <c r="K99" t="n">
        <v>16</v>
      </c>
      <c r="L99" s="4" t="n">
        <v>0.984251968503937</v>
      </c>
      <c r="M99" s="3" t="n">
        <v>0.05785490066997073</v>
      </c>
      <c r="N99" s="3" t="n">
        <v>-0.02754158247325296</v>
      </c>
      <c r="O99" s="3" t="n">
        <v>4.869107254966502</v>
      </c>
      <c r="P99" s="4" t="n">
        <v>0.792</v>
      </c>
      <c r="Q99" t="n">
        <v>30</v>
      </c>
      <c r="R99" t="n">
        <v>34</v>
      </c>
      <c r="S99" t="n">
        <v>35</v>
      </c>
      <c r="T99" t="n">
        <v>26</v>
      </c>
      <c r="U99" t="n">
        <v>240</v>
      </c>
      <c r="V99" t="n">
        <v>272</v>
      </c>
      <c r="W99" t="n">
        <v>280</v>
      </c>
      <c r="X99" t="n">
        <v>208</v>
      </c>
      <c r="Y99" t="inlineStr">
        <is>
          <t>P1:30, P2:34, P3:35, P0:26</t>
        </is>
      </c>
      <c r="Z99" t="n">
        <v/>
      </c>
      <c r="AA99" t="n">
        <v/>
      </c>
      <c r="AB99" t="n">
        <v/>
      </c>
    </row>
    <row r="100">
      <c r="A100" t="n">
        <v>20</v>
      </c>
      <c r="B100" t="inlineStr">
        <is>
          <t>RRP_GA</t>
        </is>
      </c>
      <c r="C100" t="inlineStr">
        <is>
          <t>GA</t>
        </is>
      </c>
      <c r="D100" t="n">
        <v>1000</v>
      </c>
      <c r="E100" t="n">
        <v>1008</v>
      </c>
      <c r="F100" s="3" t="n">
        <v>604.6156543343689</v>
      </c>
      <c r="G100" s="3" t="n">
        <v>12668.31344337989</v>
      </c>
      <c r="H100" s="3" t="n">
        <v>4.344729699994787</v>
      </c>
      <c r="I100" t="n">
        <v>126</v>
      </c>
      <c r="J100" t="n">
        <v>1008</v>
      </c>
      <c r="K100" t="n">
        <v>0</v>
      </c>
      <c r="L100" s="4" t="n">
        <v>1</v>
      </c>
      <c r="M100" s="3" t="n">
        <v>0.06100724851287057</v>
      </c>
      <c r="N100" s="3" t="n">
        <v>-0.019018732228191</v>
      </c>
      <c r="O100" s="3" t="n">
        <v>4.798536939161657</v>
      </c>
      <c r="P100" s="4" t="n">
        <v>0.7777777777777778</v>
      </c>
      <c r="Q100" t="n">
        <v>29</v>
      </c>
      <c r="R100" t="n">
        <v>36</v>
      </c>
      <c r="S100" t="n">
        <v>33</v>
      </c>
      <c r="T100" t="n">
        <v>28</v>
      </c>
      <c r="U100" t="n">
        <v>232</v>
      </c>
      <c r="V100" t="n">
        <v>288</v>
      </c>
      <c r="W100" t="n">
        <v>264</v>
      </c>
      <c r="X100" t="n">
        <v>224</v>
      </c>
      <c r="Y100" t="inlineStr">
        <is>
          <t>P1:29, P2:36, P3:33, P0:28</t>
        </is>
      </c>
      <c r="Z100" t="n">
        <v/>
      </c>
      <c r="AA100" t="n">
        <v/>
      </c>
      <c r="AB100" t="n">
        <v/>
      </c>
    </row>
    <row r="101">
      <c r="A101" t="n">
        <v>20</v>
      </c>
      <c r="B101" t="inlineStr">
        <is>
          <t>RRP_SA</t>
        </is>
      </c>
      <c r="C101" t="inlineStr">
        <is>
          <t>SA</t>
        </is>
      </c>
      <c r="D101" t="n">
        <v>1000</v>
      </c>
      <c r="E101" t="n">
        <v>1008</v>
      </c>
      <c r="F101" s="3" t="n">
        <v>683.9705420333153</v>
      </c>
      <c r="G101" s="3" t="n">
        <v>14061.43844381266</v>
      </c>
      <c r="H101" s="3" t="n">
        <v>3.117537899990566</v>
      </c>
      <c r="I101" t="n">
        <v>123</v>
      </c>
      <c r="J101" t="n">
        <v>984</v>
      </c>
      <c r="K101" t="n">
        <v>24</v>
      </c>
      <c r="L101" s="4" t="n">
        <v>0.9761904761904762</v>
      </c>
      <c r="M101" s="3" t="n">
        <v>0.4925947913308575</v>
      </c>
      <c r="N101" s="3" t="n">
        <v>-0.01495681112964958</v>
      </c>
      <c r="O101" s="3" t="n">
        <v>5.560736114091994</v>
      </c>
      <c r="P101" s="4" t="n">
        <v>0.8861788617886179</v>
      </c>
      <c r="Q101" t="n">
        <v>36</v>
      </c>
      <c r="R101" t="n">
        <v>36</v>
      </c>
      <c r="S101" t="n">
        <v>37</v>
      </c>
      <c r="T101" t="n">
        <v>14</v>
      </c>
      <c r="U101" t="n">
        <v>288</v>
      </c>
      <c r="V101" t="n">
        <v>288</v>
      </c>
      <c r="W101" t="n">
        <v>296</v>
      </c>
      <c r="X101" t="n">
        <v>112</v>
      </c>
      <c r="Y101" t="inlineStr">
        <is>
          <t>P1:36, P2:36, P3:37, P0:14</t>
        </is>
      </c>
      <c r="Z101" t="n">
        <v/>
      </c>
      <c r="AA101" t="n">
        <v/>
      </c>
      <c r="AB101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method</t>
        </is>
      </c>
      <c r="B1" s="2" t="inlineStr">
        <is>
          <t>method_label</t>
        </is>
      </c>
      <c r="C1" s="2" t="inlineStr">
        <is>
          <t>total_reward</t>
        </is>
      </c>
      <c r="D1" s="2" t="inlineStr">
        <is>
          <t>final_cumulative_reward</t>
        </is>
      </c>
      <c r="E1" s="2" t="inlineStr">
        <is>
          <t>total_runtime</t>
        </is>
      </c>
      <c r="F1" s="2" t="inlineStr">
        <is>
          <t>avg_runtime</t>
        </is>
      </c>
      <c r="G1" s="2" t="inlineStr">
        <is>
          <t>total_packs</t>
        </is>
      </c>
      <c r="H1" s="2" t="inlineStr">
        <is>
          <t>total_used_cells</t>
        </is>
      </c>
      <c r="I1" s="2" t="inlineStr">
        <is>
          <t>final_leftover</t>
        </is>
      </c>
      <c r="J1" s="2" t="inlineStr">
        <is>
          <t>P1_cells_total</t>
        </is>
      </c>
      <c r="K1" s="2" t="inlineStr">
        <is>
          <t>P2_cells_total</t>
        </is>
      </c>
      <c r="L1" s="2" t="inlineStr">
        <is>
          <t>P3_cells_total</t>
        </is>
      </c>
      <c r="M1" s="2" t="inlineStr">
        <is>
          <t>P0_cells_total</t>
        </is>
      </c>
    </row>
    <row r="2">
      <c r="A2" t="inlineStr">
        <is>
          <t>RRP_KMEANS</t>
        </is>
      </c>
      <c r="B2" t="inlineStr">
        <is>
          <t>KMeans</t>
        </is>
      </c>
      <c r="C2" s="3">
        <f>SUMIFS(Round_Results!$F:$F,Round_Results!$B:$B,$A2)</f>
        <v/>
      </c>
      <c r="D2" s="3">
        <f>MAXIFS(Round_Results!$G:$G,Round_Results!$B:$B,$A2)</f>
        <v/>
      </c>
      <c r="E2" s="3">
        <f>SUMIFS(Round_Results!$H:$H,Round_Results!$B:$B,$A2)</f>
        <v/>
      </c>
      <c r="F2" s="3">
        <f>AVERAGEIFS(Round_Results!$H:$H,Round_Results!$B:$B,$A2)</f>
        <v/>
      </c>
      <c r="G2" s="3">
        <f>SUMIFS(Round_Results!$I:$I,Round_Results!$B:$B,$A2)</f>
        <v/>
      </c>
      <c r="H2" s="3">
        <f>SUMIFS(Round_Results!$J:$J,Round_Results!$B:$B,$A2)</f>
        <v/>
      </c>
      <c r="I2" s="3">
        <f>MAXIFS(Round_Results!$K:$K,Round_Results!$B:$B,$A2,Round_Results!$A:$A,20)</f>
        <v/>
      </c>
      <c r="J2" s="3">
        <f>SUMIFS(Round_Results!$U:$U,Round_Results!$B:$B,$A2)</f>
        <v/>
      </c>
      <c r="K2" s="3">
        <f>SUMIFS(Round_Results!$V:$V,Round_Results!$B:$B,$A2)</f>
        <v/>
      </c>
      <c r="L2" s="3">
        <f>SUMIFS(Round_Results!$W:$W,Round_Results!$B:$B,$A2)</f>
        <v/>
      </c>
      <c r="M2" s="3">
        <f>SUMIFS(Round_Results!$X:$X,Round_Results!$B:$B,$A2)</f>
        <v/>
      </c>
    </row>
    <row r="3">
      <c r="A3" t="inlineStr">
        <is>
          <t>RRP_KMEANS_VNS</t>
        </is>
      </c>
      <c r="B3" t="inlineStr">
        <is>
          <t>KMeans_VNS</t>
        </is>
      </c>
      <c r="C3" s="3">
        <f>SUMIFS(Round_Results!$F:$F,Round_Results!$B:$B,$A3)</f>
        <v/>
      </c>
      <c r="D3" s="3">
        <f>MAXIFS(Round_Results!$G:$G,Round_Results!$B:$B,$A3)</f>
        <v/>
      </c>
      <c r="E3" s="3">
        <f>SUMIFS(Round_Results!$H:$H,Round_Results!$B:$B,$A3)</f>
        <v/>
      </c>
      <c r="F3" s="3">
        <f>AVERAGEIFS(Round_Results!$H:$H,Round_Results!$B:$B,$A3)</f>
        <v/>
      </c>
      <c r="G3" s="3">
        <f>SUMIFS(Round_Results!$I:$I,Round_Results!$B:$B,$A3)</f>
        <v/>
      </c>
      <c r="H3" s="3">
        <f>SUMIFS(Round_Results!$J:$J,Round_Results!$B:$B,$A3)</f>
        <v/>
      </c>
      <c r="I3" s="3">
        <f>MAXIFS(Round_Results!$K:$K,Round_Results!$B:$B,$A3,Round_Results!$A:$A,20)</f>
        <v/>
      </c>
      <c r="J3" s="3">
        <f>SUMIFS(Round_Results!$U:$U,Round_Results!$B:$B,$A3)</f>
        <v/>
      </c>
      <c r="K3" s="3">
        <f>SUMIFS(Round_Results!$V:$V,Round_Results!$B:$B,$A3)</f>
        <v/>
      </c>
      <c r="L3" s="3">
        <f>SUMIFS(Round_Results!$W:$W,Round_Results!$B:$B,$A3)</f>
        <v/>
      </c>
      <c r="M3" s="3">
        <f>SUMIFS(Round_Results!$X:$X,Round_Results!$B:$B,$A3)</f>
        <v/>
      </c>
    </row>
    <row r="4">
      <c r="A4" t="inlineStr">
        <is>
          <t>RRP_MS_KMEANS_VNS</t>
        </is>
      </c>
      <c r="B4" t="inlineStr">
        <is>
          <t>MS_KMeans_VNS</t>
        </is>
      </c>
      <c r="C4" s="3">
        <f>SUMIFS(Round_Results!$F:$F,Round_Results!$B:$B,$A4)</f>
        <v/>
      </c>
      <c r="D4" s="3">
        <f>MAXIFS(Round_Results!$G:$G,Round_Results!$B:$B,$A4)</f>
        <v/>
      </c>
      <c r="E4" s="3">
        <f>SUMIFS(Round_Results!$H:$H,Round_Results!$B:$B,$A4)</f>
        <v/>
      </c>
      <c r="F4" s="3">
        <f>AVERAGEIFS(Round_Results!$H:$H,Round_Results!$B:$B,$A4)</f>
        <v/>
      </c>
      <c r="G4" s="3">
        <f>SUMIFS(Round_Results!$I:$I,Round_Results!$B:$B,$A4)</f>
        <v/>
      </c>
      <c r="H4" s="3">
        <f>SUMIFS(Round_Results!$J:$J,Round_Results!$B:$B,$A4)</f>
        <v/>
      </c>
      <c r="I4" s="3">
        <f>MAXIFS(Round_Results!$K:$K,Round_Results!$B:$B,$A4,Round_Results!$A:$A,20)</f>
        <v/>
      </c>
      <c r="J4" s="3">
        <f>SUMIFS(Round_Results!$U:$U,Round_Results!$B:$B,$A4)</f>
        <v/>
      </c>
      <c r="K4" s="3">
        <f>SUMIFS(Round_Results!$V:$V,Round_Results!$B:$B,$A4)</f>
        <v/>
      </c>
      <c r="L4" s="3">
        <f>SUMIFS(Round_Results!$W:$W,Round_Results!$B:$B,$A4)</f>
        <v/>
      </c>
      <c r="M4" s="3">
        <f>SUMIFS(Round_Results!$X:$X,Round_Results!$B:$B,$A4)</f>
        <v/>
      </c>
    </row>
    <row r="5">
      <c r="A5" t="inlineStr">
        <is>
          <t>RRP_GA</t>
        </is>
      </c>
      <c r="B5" t="inlineStr">
        <is>
          <t>GA</t>
        </is>
      </c>
      <c r="C5" s="3">
        <f>SUMIFS(Round_Results!$F:$F,Round_Results!$B:$B,$A5)</f>
        <v/>
      </c>
      <c r="D5" s="3">
        <f>MAXIFS(Round_Results!$G:$G,Round_Results!$B:$B,$A5)</f>
        <v/>
      </c>
      <c r="E5" s="3">
        <f>SUMIFS(Round_Results!$H:$H,Round_Results!$B:$B,$A5)</f>
        <v/>
      </c>
      <c r="F5" s="3">
        <f>AVERAGEIFS(Round_Results!$H:$H,Round_Results!$B:$B,$A5)</f>
        <v/>
      </c>
      <c r="G5" s="3">
        <f>SUMIFS(Round_Results!$I:$I,Round_Results!$B:$B,$A5)</f>
        <v/>
      </c>
      <c r="H5" s="3">
        <f>SUMIFS(Round_Results!$J:$J,Round_Results!$B:$B,$A5)</f>
        <v/>
      </c>
      <c r="I5" s="3">
        <f>MAXIFS(Round_Results!$K:$K,Round_Results!$B:$B,$A5,Round_Results!$A:$A,20)</f>
        <v/>
      </c>
      <c r="J5" s="3">
        <f>SUMIFS(Round_Results!$U:$U,Round_Results!$B:$B,$A5)</f>
        <v/>
      </c>
      <c r="K5" s="3">
        <f>SUMIFS(Round_Results!$V:$V,Round_Results!$B:$B,$A5)</f>
        <v/>
      </c>
      <c r="L5" s="3">
        <f>SUMIFS(Round_Results!$W:$W,Round_Results!$B:$B,$A5)</f>
        <v/>
      </c>
      <c r="M5" s="3">
        <f>SUMIFS(Round_Results!$X:$X,Round_Results!$B:$B,$A5)</f>
        <v/>
      </c>
    </row>
    <row r="6">
      <c r="A6" t="inlineStr">
        <is>
          <t>RRP_SA</t>
        </is>
      </c>
      <c r="B6" t="inlineStr">
        <is>
          <t>SA</t>
        </is>
      </c>
      <c r="C6" s="3">
        <f>SUMIFS(Round_Results!$F:$F,Round_Results!$B:$B,$A6)</f>
        <v/>
      </c>
      <c r="D6" s="3">
        <f>MAXIFS(Round_Results!$G:$G,Round_Results!$B:$B,$A6)</f>
        <v/>
      </c>
      <c r="E6" s="3">
        <f>SUMIFS(Round_Results!$H:$H,Round_Results!$B:$B,$A6)</f>
        <v/>
      </c>
      <c r="F6" s="3">
        <f>AVERAGEIFS(Round_Results!$H:$H,Round_Results!$B:$B,$A6)</f>
        <v/>
      </c>
      <c r="G6" s="3">
        <f>SUMIFS(Round_Results!$I:$I,Round_Results!$B:$B,$A6)</f>
        <v/>
      </c>
      <c r="H6" s="3">
        <f>SUMIFS(Round_Results!$J:$J,Round_Results!$B:$B,$A6)</f>
        <v/>
      </c>
      <c r="I6" s="3">
        <f>MAXIFS(Round_Results!$K:$K,Round_Results!$B:$B,$A6,Round_Results!$A:$A,20)</f>
        <v/>
      </c>
      <c r="J6" s="3">
        <f>SUMIFS(Round_Results!$U:$U,Round_Results!$B:$B,$A6)</f>
        <v/>
      </c>
      <c r="K6" s="3">
        <f>SUMIFS(Round_Results!$V:$V,Round_Results!$B:$B,$A6)</f>
        <v/>
      </c>
      <c r="L6" s="3">
        <f>SUMIFS(Round_Results!$W:$W,Round_Results!$B:$B,$A6)</f>
        <v/>
      </c>
      <c r="M6" s="3">
        <f>SUMIFS(Round_Results!$X:$X,Round_Results!$B:$B,$A6)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SUMIFS(Round_Results!$F:$F,Round_Results!$B:$B,B$1,Round_Results!$A:$A,"&lt;="&amp;$A2)</f>
        <v/>
      </c>
      <c r="C2" s="3">
        <f>SUMIFS(Round_Results!$F:$F,Round_Results!$B:$B,C$1,Round_Results!$A:$A,"&lt;="&amp;$A2)</f>
        <v/>
      </c>
      <c r="D2" s="3">
        <f>SUMIFS(Round_Results!$F:$F,Round_Results!$B:$B,D$1,Round_Results!$A:$A,"&lt;="&amp;$A2)</f>
        <v/>
      </c>
      <c r="E2" s="3">
        <f>SUMIFS(Round_Results!$F:$F,Round_Results!$B:$B,E$1,Round_Results!$A:$A,"&lt;="&amp;$A2)</f>
        <v/>
      </c>
      <c r="F2" s="3">
        <f>SUMIFS(Round_Results!$F:$F,Round_Results!$B:$B,F$1,Round_Results!$A:$A,"&lt;="&amp;$A2)</f>
        <v/>
      </c>
    </row>
    <row r="3">
      <c r="A3" t="n">
        <v>2</v>
      </c>
      <c r="B3" s="3">
        <f>SUMIFS(Round_Results!$F:$F,Round_Results!$B:$B,B$1,Round_Results!$A:$A,"&lt;="&amp;$A3)</f>
        <v/>
      </c>
      <c r="C3" s="3">
        <f>SUMIFS(Round_Results!$F:$F,Round_Results!$B:$B,C$1,Round_Results!$A:$A,"&lt;="&amp;$A3)</f>
        <v/>
      </c>
      <c r="D3" s="3">
        <f>SUMIFS(Round_Results!$F:$F,Round_Results!$B:$B,D$1,Round_Results!$A:$A,"&lt;="&amp;$A3)</f>
        <v/>
      </c>
      <c r="E3" s="3">
        <f>SUMIFS(Round_Results!$F:$F,Round_Results!$B:$B,E$1,Round_Results!$A:$A,"&lt;="&amp;$A3)</f>
        <v/>
      </c>
      <c r="F3" s="3">
        <f>SUMIFS(Round_Results!$F:$F,Round_Results!$B:$B,F$1,Round_Results!$A:$A,"&lt;="&amp;$A3)</f>
        <v/>
      </c>
    </row>
    <row r="4">
      <c r="A4" t="n">
        <v>3</v>
      </c>
      <c r="B4" s="3">
        <f>SUMIFS(Round_Results!$F:$F,Round_Results!$B:$B,B$1,Round_Results!$A:$A,"&lt;="&amp;$A4)</f>
        <v/>
      </c>
      <c r="C4" s="3">
        <f>SUMIFS(Round_Results!$F:$F,Round_Results!$B:$B,C$1,Round_Results!$A:$A,"&lt;="&amp;$A4)</f>
        <v/>
      </c>
      <c r="D4" s="3">
        <f>SUMIFS(Round_Results!$F:$F,Round_Results!$B:$B,D$1,Round_Results!$A:$A,"&lt;="&amp;$A4)</f>
        <v/>
      </c>
      <c r="E4" s="3">
        <f>SUMIFS(Round_Results!$F:$F,Round_Results!$B:$B,E$1,Round_Results!$A:$A,"&lt;="&amp;$A4)</f>
        <v/>
      </c>
      <c r="F4" s="3">
        <f>SUMIFS(Round_Results!$F:$F,Round_Results!$B:$B,F$1,Round_Results!$A:$A,"&lt;="&amp;$A4)</f>
        <v/>
      </c>
    </row>
    <row r="5">
      <c r="A5" t="n">
        <v>4</v>
      </c>
      <c r="B5" s="3">
        <f>SUMIFS(Round_Results!$F:$F,Round_Results!$B:$B,B$1,Round_Results!$A:$A,"&lt;="&amp;$A5)</f>
        <v/>
      </c>
      <c r="C5" s="3">
        <f>SUMIFS(Round_Results!$F:$F,Round_Results!$B:$B,C$1,Round_Results!$A:$A,"&lt;="&amp;$A5)</f>
        <v/>
      </c>
      <c r="D5" s="3">
        <f>SUMIFS(Round_Results!$F:$F,Round_Results!$B:$B,D$1,Round_Results!$A:$A,"&lt;="&amp;$A5)</f>
        <v/>
      </c>
      <c r="E5" s="3">
        <f>SUMIFS(Round_Results!$F:$F,Round_Results!$B:$B,E$1,Round_Results!$A:$A,"&lt;="&amp;$A5)</f>
        <v/>
      </c>
      <c r="F5" s="3">
        <f>SUMIFS(Round_Results!$F:$F,Round_Results!$B:$B,F$1,Round_Results!$A:$A,"&lt;="&amp;$A5)</f>
        <v/>
      </c>
    </row>
    <row r="6">
      <c r="A6" t="n">
        <v>5</v>
      </c>
      <c r="B6" s="3">
        <f>SUMIFS(Round_Results!$F:$F,Round_Results!$B:$B,B$1,Round_Results!$A:$A,"&lt;="&amp;$A6)</f>
        <v/>
      </c>
      <c r="C6" s="3">
        <f>SUMIFS(Round_Results!$F:$F,Round_Results!$B:$B,C$1,Round_Results!$A:$A,"&lt;="&amp;$A6)</f>
        <v/>
      </c>
      <c r="D6" s="3">
        <f>SUMIFS(Round_Results!$F:$F,Round_Results!$B:$B,D$1,Round_Results!$A:$A,"&lt;="&amp;$A6)</f>
        <v/>
      </c>
      <c r="E6" s="3">
        <f>SUMIFS(Round_Results!$F:$F,Round_Results!$B:$B,E$1,Round_Results!$A:$A,"&lt;="&amp;$A6)</f>
        <v/>
      </c>
      <c r="F6" s="3">
        <f>SUMIFS(Round_Results!$F:$F,Round_Results!$B:$B,F$1,Round_Results!$A:$A,"&lt;="&amp;$A6)</f>
        <v/>
      </c>
    </row>
    <row r="7">
      <c r="A7" t="n">
        <v>6</v>
      </c>
      <c r="B7" s="3">
        <f>SUMIFS(Round_Results!$F:$F,Round_Results!$B:$B,B$1,Round_Results!$A:$A,"&lt;="&amp;$A7)</f>
        <v/>
      </c>
      <c r="C7" s="3">
        <f>SUMIFS(Round_Results!$F:$F,Round_Results!$B:$B,C$1,Round_Results!$A:$A,"&lt;="&amp;$A7)</f>
        <v/>
      </c>
      <c r="D7" s="3">
        <f>SUMIFS(Round_Results!$F:$F,Round_Results!$B:$B,D$1,Round_Results!$A:$A,"&lt;="&amp;$A7)</f>
        <v/>
      </c>
      <c r="E7" s="3">
        <f>SUMIFS(Round_Results!$F:$F,Round_Results!$B:$B,E$1,Round_Results!$A:$A,"&lt;="&amp;$A7)</f>
        <v/>
      </c>
      <c r="F7" s="3">
        <f>SUMIFS(Round_Results!$F:$F,Round_Results!$B:$B,F$1,Round_Results!$A:$A,"&lt;="&amp;$A7)</f>
        <v/>
      </c>
    </row>
    <row r="8">
      <c r="A8" t="n">
        <v>7</v>
      </c>
      <c r="B8" s="3">
        <f>SUMIFS(Round_Results!$F:$F,Round_Results!$B:$B,B$1,Round_Results!$A:$A,"&lt;="&amp;$A8)</f>
        <v/>
      </c>
      <c r="C8" s="3">
        <f>SUMIFS(Round_Results!$F:$F,Round_Results!$B:$B,C$1,Round_Results!$A:$A,"&lt;="&amp;$A8)</f>
        <v/>
      </c>
      <c r="D8" s="3">
        <f>SUMIFS(Round_Results!$F:$F,Round_Results!$B:$B,D$1,Round_Results!$A:$A,"&lt;="&amp;$A8)</f>
        <v/>
      </c>
      <c r="E8" s="3">
        <f>SUMIFS(Round_Results!$F:$F,Round_Results!$B:$B,E$1,Round_Results!$A:$A,"&lt;="&amp;$A8)</f>
        <v/>
      </c>
      <c r="F8" s="3">
        <f>SUMIFS(Round_Results!$F:$F,Round_Results!$B:$B,F$1,Round_Results!$A:$A,"&lt;="&amp;$A8)</f>
        <v/>
      </c>
    </row>
    <row r="9">
      <c r="A9" t="n">
        <v>8</v>
      </c>
      <c r="B9" s="3">
        <f>SUMIFS(Round_Results!$F:$F,Round_Results!$B:$B,B$1,Round_Results!$A:$A,"&lt;="&amp;$A9)</f>
        <v/>
      </c>
      <c r="C9" s="3">
        <f>SUMIFS(Round_Results!$F:$F,Round_Results!$B:$B,C$1,Round_Results!$A:$A,"&lt;="&amp;$A9)</f>
        <v/>
      </c>
      <c r="D9" s="3">
        <f>SUMIFS(Round_Results!$F:$F,Round_Results!$B:$B,D$1,Round_Results!$A:$A,"&lt;="&amp;$A9)</f>
        <v/>
      </c>
      <c r="E9" s="3">
        <f>SUMIFS(Round_Results!$F:$F,Round_Results!$B:$B,E$1,Round_Results!$A:$A,"&lt;="&amp;$A9)</f>
        <v/>
      </c>
      <c r="F9" s="3">
        <f>SUMIFS(Round_Results!$F:$F,Round_Results!$B:$B,F$1,Round_Results!$A:$A,"&lt;="&amp;$A9)</f>
        <v/>
      </c>
    </row>
    <row r="10">
      <c r="A10" t="n">
        <v>9</v>
      </c>
      <c r="B10" s="3">
        <f>SUMIFS(Round_Results!$F:$F,Round_Results!$B:$B,B$1,Round_Results!$A:$A,"&lt;="&amp;$A10)</f>
        <v/>
      </c>
      <c r="C10" s="3">
        <f>SUMIFS(Round_Results!$F:$F,Round_Results!$B:$B,C$1,Round_Results!$A:$A,"&lt;="&amp;$A10)</f>
        <v/>
      </c>
      <c r="D10" s="3">
        <f>SUMIFS(Round_Results!$F:$F,Round_Results!$B:$B,D$1,Round_Results!$A:$A,"&lt;="&amp;$A10)</f>
        <v/>
      </c>
      <c r="E10" s="3">
        <f>SUMIFS(Round_Results!$F:$F,Round_Results!$B:$B,E$1,Round_Results!$A:$A,"&lt;="&amp;$A10)</f>
        <v/>
      </c>
      <c r="F10" s="3">
        <f>SUMIFS(Round_Results!$F:$F,Round_Results!$B:$B,F$1,Round_Results!$A:$A,"&lt;="&amp;$A10)</f>
        <v/>
      </c>
    </row>
    <row r="11">
      <c r="A11" t="n">
        <v>10</v>
      </c>
      <c r="B11" s="3">
        <f>SUMIFS(Round_Results!$F:$F,Round_Results!$B:$B,B$1,Round_Results!$A:$A,"&lt;="&amp;$A11)</f>
        <v/>
      </c>
      <c r="C11" s="3">
        <f>SUMIFS(Round_Results!$F:$F,Round_Results!$B:$B,C$1,Round_Results!$A:$A,"&lt;="&amp;$A11)</f>
        <v/>
      </c>
      <c r="D11" s="3">
        <f>SUMIFS(Round_Results!$F:$F,Round_Results!$B:$B,D$1,Round_Results!$A:$A,"&lt;="&amp;$A11)</f>
        <v/>
      </c>
      <c r="E11" s="3">
        <f>SUMIFS(Round_Results!$F:$F,Round_Results!$B:$B,E$1,Round_Results!$A:$A,"&lt;="&amp;$A11)</f>
        <v/>
      </c>
      <c r="F11" s="3">
        <f>SUMIFS(Round_Results!$F:$F,Round_Results!$B:$B,F$1,Round_Results!$A:$A,"&lt;="&amp;$A11)</f>
        <v/>
      </c>
    </row>
    <row r="12">
      <c r="A12" t="n">
        <v>11</v>
      </c>
      <c r="B12" s="3">
        <f>SUMIFS(Round_Results!$F:$F,Round_Results!$B:$B,B$1,Round_Results!$A:$A,"&lt;="&amp;$A12)</f>
        <v/>
      </c>
      <c r="C12" s="3">
        <f>SUMIFS(Round_Results!$F:$F,Round_Results!$B:$B,C$1,Round_Results!$A:$A,"&lt;="&amp;$A12)</f>
        <v/>
      </c>
      <c r="D12" s="3">
        <f>SUMIFS(Round_Results!$F:$F,Round_Results!$B:$B,D$1,Round_Results!$A:$A,"&lt;="&amp;$A12)</f>
        <v/>
      </c>
      <c r="E12" s="3">
        <f>SUMIFS(Round_Results!$F:$F,Round_Results!$B:$B,E$1,Round_Results!$A:$A,"&lt;="&amp;$A12)</f>
        <v/>
      </c>
      <c r="F12" s="3">
        <f>SUMIFS(Round_Results!$F:$F,Round_Results!$B:$B,F$1,Round_Results!$A:$A,"&lt;="&amp;$A12)</f>
        <v/>
      </c>
    </row>
    <row r="13">
      <c r="A13" t="n">
        <v>12</v>
      </c>
      <c r="B13" s="3">
        <f>SUMIFS(Round_Results!$F:$F,Round_Results!$B:$B,B$1,Round_Results!$A:$A,"&lt;="&amp;$A13)</f>
        <v/>
      </c>
      <c r="C13" s="3">
        <f>SUMIFS(Round_Results!$F:$F,Round_Results!$B:$B,C$1,Round_Results!$A:$A,"&lt;="&amp;$A13)</f>
        <v/>
      </c>
      <c r="D13" s="3">
        <f>SUMIFS(Round_Results!$F:$F,Round_Results!$B:$B,D$1,Round_Results!$A:$A,"&lt;="&amp;$A13)</f>
        <v/>
      </c>
      <c r="E13" s="3">
        <f>SUMIFS(Round_Results!$F:$F,Round_Results!$B:$B,E$1,Round_Results!$A:$A,"&lt;="&amp;$A13)</f>
        <v/>
      </c>
      <c r="F13" s="3">
        <f>SUMIFS(Round_Results!$F:$F,Round_Results!$B:$B,F$1,Round_Results!$A:$A,"&lt;="&amp;$A13)</f>
        <v/>
      </c>
    </row>
    <row r="14">
      <c r="A14" t="n">
        <v>13</v>
      </c>
      <c r="B14" s="3">
        <f>SUMIFS(Round_Results!$F:$F,Round_Results!$B:$B,B$1,Round_Results!$A:$A,"&lt;="&amp;$A14)</f>
        <v/>
      </c>
      <c r="C14" s="3">
        <f>SUMIFS(Round_Results!$F:$F,Round_Results!$B:$B,C$1,Round_Results!$A:$A,"&lt;="&amp;$A14)</f>
        <v/>
      </c>
      <c r="D14" s="3">
        <f>SUMIFS(Round_Results!$F:$F,Round_Results!$B:$B,D$1,Round_Results!$A:$A,"&lt;="&amp;$A14)</f>
        <v/>
      </c>
      <c r="E14" s="3">
        <f>SUMIFS(Round_Results!$F:$F,Round_Results!$B:$B,E$1,Round_Results!$A:$A,"&lt;="&amp;$A14)</f>
        <v/>
      </c>
      <c r="F14" s="3">
        <f>SUMIFS(Round_Results!$F:$F,Round_Results!$B:$B,F$1,Round_Results!$A:$A,"&lt;="&amp;$A14)</f>
        <v/>
      </c>
    </row>
    <row r="15">
      <c r="A15" t="n">
        <v>14</v>
      </c>
      <c r="B15" s="3">
        <f>SUMIFS(Round_Results!$F:$F,Round_Results!$B:$B,B$1,Round_Results!$A:$A,"&lt;="&amp;$A15)</f>
        <v/>
      </c>
      <c r="C15" s="3">
        <f>SUMIFS(Round_Results!$F:$F,Round_Results!$B:$B,C$1,Round_Results!$A:$A,"&lt;="&amp;$A15)</f>
        <v/>
      </c>
      <c r="D15" s="3">
        <f>SUMIFS(Round_Results!$F:$F,Round_Results!$B:$B,D$1,Round_Results!$A:$A,"&lt;="&amp;$A15)</f>
        <v/>
      </c>
      <c r="E15" s="3">
        <f>SUMIFS(Round_Results!$F:$F,Round_Results!$B:$B,E$1,Round_Results!$A:$A,"&lt;="&amp;$A15)</f>
        <v/>
      </c>
      <c r="F15" s="3">
        <f>SUMIFS(Round_Results!$F:$F,Round_Results!$B:$B,F$1,Round_Results!$A:$A,"&lt;="&amp;$A15)</f>
        <v/>
      </c>
    </row>
    <row r="16">
      <c r="A16" t="n">
        <v>15</v>
      </c>
      <c r="B16" s="3">
        <f>SUMIFS(Round_Results!$F:$F,Round_Results!$B:$B,B$1,Round_Results!$A:$A,"&lt;="&amp;$A16)</f>
        <v/>
      </c>
      <c r="C16" s="3">
        <f>SUMIFS(Round_Results!$F:$F,Round_Results!$B:$B,C$1,Round_Results!$A:$A,"&lt;="&amp;$A16)</f>
        <v/>
      </c>
      <c r="D16" s="3">
        <f>SUMIFS(Round_Results!$F:$F,Round_Results!$B:$B,D$1,Round_Results!$A:$A,"&lt;="&amp;$A16)</f>
        <v/>
      </c>
      <c r="E16" s="3">
        <f>SUMIFS(Round_Results!$F:$F,Round_Results!$B:$B,E$1,Round_Results!$A:$A,"&lt;="&amp;$A16)</f>
        <v/>
      </c>
      <c r="F16" s="3">
        <f>SUMIFS(Round_Results!$F:$F,Round_Results!$B:$B,F$1,Round_Results!$A:$A,"&lt;="&amp;$A16)</f>
        <v/>
      </c>
    </row>
    <row r="17">
      <c r="A17" t="n">
        <v>16</v>
      </c>
      <c r="B17" s="3">
        <f>SUMIFS(Round_Results!$F:$F,Round_Results!$B:$B,B$1,Round_Results!$A:$A,"&lt;="&amp;$A17)</f>
        <v/>
      </c>
      <c r="C17" s="3">
        <f>SUMIFS(Round_Results!$F:$F,Round_Results!$B:$B,C$1,Round_Results!$A:$A,"&lt;="&amp;$A17)</f>
        <v/>
      </c>
      <c r="D17" s="3">
        <f>SUMIFS(Round_Results!$F:$F,Round_Results!$B:$B,D$1,Round_Results!$A:$A,"&lt;="&amp;$A17)</f>
        <v/>
      </c>
      <c r="E17" s="3">
        <f>SUMIFS(Round_Results!$F:$F,Round_Results!$B:$B,E$1,Round_Results!$A:$A,"&lt;="&amp;$A17)</f>
        <v/>
      </c>
      <c r="F17" s="3">
        <f>SUMIFS(Round_Results!$F:$F,Round_Results!$B:$B,F$1,Round_Results!$A:$A,"&lt;="&amp;$A17)</f>
        <v/>
      </c>
    </row>
    <row r="18">
      <c r="A18" t="n">
        <v>17</v>
      </c>
      <c r="B18" s="3">
        <f>SUMIFS(Round_Results!$F:$F,Round_Results!$B:$B,B$1,Round_Results!$A:$A,"&lt;="&amp;$A18)</f>
        <v/>
      </c>
      <c r="C18" s="3">
        <f>SUMIFS(Round_Results!$F:$F,Round_Results!$B:$B,C$1,Round_Results!$A:$A,"&lt;="&amp;$A18)</f>
        <v/>
      </c>
      <c r="D18" s="3">
        <f>SUMIFS(Round_Results!$F:$F,Round_Results!$B:$B,D$1,Round_Results!$A:$A,"&lt;="&amp;$A18)</f>
        <v/>
      </c>
      <c r="E18" s="3">
        <f>SUMIFS(Round_Results!$F:$F,Round_Results!$B:$B,E$1,Round_Results!$A:$A,"&lt;="&amp;$A18)</f>
        <v/>
      </c>
      <c r="F18" s="3">
        <f>SUMIFS(Round_Results!$F:$F,Round_Results!$B:$B,F$1,Round_Results!$A:$A,"&lt;="&amp;$A18)</f>
        <v/>
      </c>
    </row>
    <row r="19">
      <c r="A19" t="n">
        <v>18</v>
      </c>
      <c r="B19" s="3">
        <f>SUMIFS(Round_Results!$F:$F,Round_Results!$B:$B,B$1,Round_Results!$A:$A,"&lt;="&amp;$A19)</f>
        <v/>
      </c>
      <c r="C19" s="3">
        <f>SUMIFS(Round_Results!$F:$F,Round_Results!$B:$B,C$1,Round_Results!$A:$A,"&lt;="&amp;$A19)</f>
        <v/>
      </c>
      <c r="D19" s="3">
        <f>SUMIFS(Round_Results!$F:$F,Round_Results!$B:$B,D$1,Round_Results!$A:$A,"&lt;="&amp;$A19)</f>
        <v/>
      </c>
      <c r="E19" s="3">
        <f>SUMIFS(Round_Results!$F:$F,Round_Results!$B:$B,E$1,Round_Results!$A:$A,"&lt;="&amp;$A19)</f>
        <v/>
      </c>
      <c r="F19" s="3">
        <f>SUMIFS(Round_Results!$F:$F,Round_Results!$B:$B,F$1,Round_Results!$A:$A,"&lt;="&amp;$A19)</f>
        <v/>
      </c>
    </row>
    <row r="20">
      <c r="A20" t="n">
        <v>19</v>
      </c>
      <c r="B20" s="3">
        <f>SUMIFS(Round_Results!$F:$F,Round_Results!$B:$B,B$1,Round_Results!$A:$A,"&lt;="&amp;$A20)</f>
        <v/>
      </c>
      <c r="C20" s="3">
        <f>SUMIFS(Round_Results!$F:$F,Round_Results!$B:$B,C$1,Round_Results!$A:$A,"&lt;="&amp;$A20)</f>
        <v/>
      </c>
      <c r="D20" s="3">
        <f>SUMIFS(Round_Results!$F:$F,Round_Results!$B:$B,D$1,Round_Results!$A:$A,"&lt;="&amp;$A20)</f>
        <v/>
      </c>
      <c r="E20" s="3">
        <f>SUMIFS(Round_Results!$F:$F,Round_Results!$B:$B,E$1,Round_Results!$A:$A,"&lt;="&amp;$A20)</f>
        <v/>
      </c>
      <c r="F20" s="3">
        <f>SUMIFS(Round_Results!$F:$F,Round_Results!$B:$B,F$1,Round_Results!$A:$A,"&lt;="&amp;$A20)</f>
        <v/>
      </c>
    </row>
    <row r="21">
      <c r="A21" t="n">
        <v>20</v>
      </c>
      <c r="B21" s="3">
        <f>SUMIFS(Round_Results!$F:$F,Round_Results!$B:$B,B$1,Round_Results!$A:$A,"&lt;="&amp;$A21)</f>
        <v/>
      </c>
      <c r="C21" s="3">
        <f>SUMIFS(Round_Results!$F:$F,Round_Results!$B:$B,C$1,Round_Results!$A:$A,"&lt;="&amp;$A21)</f>
        <v/>
      </c>
      <c r="D21" s="3">
        <f>SUMIFS(Round_Results!$F:$F,Round_Results!$B:$B,D$1,Round_Results!$A:$A,"&lt;="&amp;$A21)</f>
        <v/>
      </c>
      <c r="E21" s="3">
        <f>SUMIFS(Round_Results!$F:$F,Round_Results!$B:$B,E$1,Round_Results!$A:$A,"&lt;="&amp;$A21)</f>
        <v/>
      </c>
      <c r="F21" s="3">
        <f>SUMIFS(Round_Results!$F:$F,Round_Results!$B:$B,F$1,Round_Results!$A:$A,"&lt;="&amp;$A21)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method</t>
        </is>
      </c>
      <c r="B1" s="2" t="inlineStr">
        <is>
          <t>P1_cells_total</t>
        </is>
      </c>
      <c r="C1" s="2" t="inlineStr">
        <is>
          <t>P2_cells_total</t>
        </is>
      </c>
      <c r="D1" s="2" t="inlineStr">
        <is>
          <t>P3_cells_total</t>
        </is>
      </c>
      <c r="E1" s="2" t="inlineStr">
        <is>
          <t>P0_cells_total</t>
        </is>
      </c>
    </row>
    <row r="2">
      <c r="A2" t="inlineStr">
        <is>
          <t>RRP_KMEANS</t>
        </is>
      </c>
      <c r="B2" s="3">
        <f>SUMIFS(Round_Results!$U:$U,Round_Results!$B:$B,$A2)</f>
        <v/>
      </c>
      <c r="C2" s="3">
        <f>SUMIFS(Round_Results!$V:$V,Round_Results!$B:$B,$A2)</f>
        <v/>
      </c>
      <c r="D2" s="3">
        <f>SUMIFS(Round_Results!$W:$W,Round_Results!$B:$B,$A2)</f>
        <v/>
      </c>
      <c r="E2" s="3">
        <f>SUMIFS(Round_Results!$X:$X,Round_Results!$B:$B,$A2)</f>
        <v/>
      </c>
    </row>
    <row r="3">
      <c r="A3" t="inlineStr">
        <is>
          <t>RRP_KMEANS_VNS</t>
        </is>
      </c>
      <c r="B3" s="3">
        <f>SUMIFS(Round_Results!$U:$U,Round_Results!$B:$B,$A3)</f>
        <v/>
      </c>
      <c r="C3" s="3">
        <f>SUMIFS(Round_Results!$V:$V,Round_Results!$B:$B,$A3)</f>
        <v/>
      </c>
      <c r="D3" s="3">
        <f>SUMIFS(Round_Results!$W:$W,Round_Results!$B:$B,$A3)</f>
        <v/>
      </c>
      <c r="E3" s="3">
        <f>SUMIFS(Round_Results!$X:$X,Round_Results!$B:$B,$A3)</f>
        <v/>
      </c>
    </row>
    <row r="4">
      <c r="A4" t="inlineStr">
        <is>
          <t>RRP_MS_KMEANS_VNS</t>
        </is>
      </c>
      <c r="B4" s="3">
        <f>SUMIFS(Round_Results!$U:$U,Round_Results!$B:$B,$A4)</f>
        <v/>
      </c>
      <c r="C4" s="3">
        <f>SUMIFS(Round_Results!$V:$V,Round_Results!$B:$B,$A4)</f>
        <v/>
      </c>
      <c r="D4" s="3">
        <f>SUMIFS(Round_Results!$W:$W,Round_Results!$B:$B,$A4)</f>
        <v/>
      </c>
      <c r="E4" s="3">
        <f>SUMIFS(Round_Results!$X:$X,Round_Results!$B:$B,$A4)</f>
        <v/>
      </c>
    </row>
    <row r="5">
      <c r="A5" t="inlineStr">
        <is>
          <t>RRP_GA</t>
        </is>
      </c>
      <c r="B5" s="3">
        <f>SUMIFS(Round_Results!$U:$U,Round_Results!$B:$B,$A5)</f>
        <v/>
      </c>
      <c r="C5" s="3">
        <f>SUMIFS(Round_Results!$V:$V,Round_Results!$B:$B,$A5)</f>
        <v/>
      </c>
      <c r="D5" s="3">
        <f>SUMIFS(Round_Results!$W:$W,Round_Results!$B:$B,$A5)</f>
        <v/>
      </c>
      <c r="E5" s="3">
        <f>SUMIFS(Round_Results!$X:$X,Round_Results!$B:$B,$A5)</f>
        <v/>
      </c>
    </row>
    <row r="6">
      <c r="A6" t="inlineStr">
        <is>
          <t>RRP_SA</t>
        </is>
      </c>
      <c r="B6" s="3">
        <f>SUMIFS(Round_Results!$U:$U,Round_Results!$B:$B,$A6)</f>
        <v/>
      </c>
      <c r="C6" s="3">
        <f>SUMIFS(Round_Results!$V:$V,Round_Results!$B:$B,$A6)</f>
        <v/>
      </c>
      <c r="D6" s="3">
        <f>SUMIFS(Round_Results!$W:$W,Round_Results!$B:$B,$A6)</f>
        <v/>
      </c>
      <c r="E6" s="3">
        <f>SUMIFS(Round_Results!$X:$X,Round_Results!$B:$B,$A6)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</cols>
  <sheetData>
    <row r="1">
      <c r="A1" s="2" t="inlineStr">
        <is>
          <t>round</t>
        </is>
      </c>
      <c r="B1" s="2" t="inlineStr">
        <is>
          <t>RRP_KMEANS</t>
        </is>
      </c>
      <c r="C1" s="2" t="inlineStr">
        <is>
          <t>RRP_KMEANS_VNS</t>
        </is>
      </c>
      <c r="D1" s="2" t="inlineStr">
        <is>
          <t>RRP_MS_KMEANS_VNS</t>
        </is>
      </c>
      <c r="E1" s="2" t="inlineStr">
        <is>
          <t>RRP_GA</t>
        </is>
      </c>
      <c r="F1" s="2" t="inlineStr">
        <is>
          <t>RRP_SA</t>
        </is>
      </c>
    </row>
    <row r="2">
      <c r="A2" t="n">
        <v>1</v>
      </c>
      <c r="B2" s="3">
        <f>SUMIFS(Round_Results!$H:$H,Round_Results!$B:$B,B$1,Round_Results!$A:$A,$A2)</f>
        <v/>
      </c>
      <c r="C2" s="3">
        <f>SUMIFS(Round_Results!$H:$H,Round_Results!$B:$B,C$1,Round_Results!$A:$A,$A2)</f>
        <v/>
      </c>
      <c r="D2" s="3">
        <f>SUMIFS(Round_Results!$H:$H,Round_Results!$B:$B,D$1,Round_Results!$A:$A,$A2)</f>
        <v/>
      </c>
      <c r="E2" s="3">
        <f>SUMIFS(Round_Results!$H:$H,Round_Results!$B:$B,E$1,Round_Results!$A:$A,$A2)</f>
        <v/>
      </c>
      <c r="F2" s="3">
        <f>SUMIFS(Round_Results!$H:$H,Round_Results!$B:$B,F$1,Round_Results!$A:$A,$A2)</f>
        <v/>
      </c>
    </row>
    <row r="3">
      <c r="A3" t="n">
        <v>2</v>
      </c>
      <c r="B3" s="3">
        <f>SUMIFS(Round_Results!$H:$H,Round_Results!$B:$B,B$1,Round_Results!$A:$A,$A3)</f>
        <v/>
      </c>
      <c r="C3" s="3">
        <f>SUMIFS(Round_Results!$H:$H,Round_Results!$B:$B,C$1,Round_Results!$A:$A,$A3)</f>
        <v/>
      </c>
      <c r="D3" s="3">
        <f>SUMIFS(Round_Results!$H:$H,Round_Results!$B:$B,D$1,Round_Results!$A:$A,$A3)</f>
        <v/>
      </c>
      <c r="E3" s="3">
        <f>SUMIFS(Round_Results!$H:$H,Round_Results!$B:$B,E$1,Round_Results!$A:$A,$A3)</f>
        <v/>
      </c>
      <c r="F3" s="3">
        <f>SUMIFS(Round_Results!$H:$H,Round_Results!$B:$B,F$1,Round_Results!$A:$A,$A3)</f>
        <v/>
      </c>
    </row>
    <row r="4">
      <c r="A4" t="n">
        <v>3</v>
      </c>
      <c r="B4" s="3">
        <f>SUMIFS(Round_Results!$H:$H,Round_Results!$B:$B,B$1,Round_Results!$A:$A,$A4)</f>
        <v/>
      </c>
      <c r="C4" s="3">
        <f>SUMIFS(Round_Results!$H:$H,Round_Results!$B:$B,C$1,Round_Results!$A:$A,$A4)</f>
        <v/>
      </c>
      <c r="D4" s="3">
        <f>SUMIFS(Round_Results!$H:$H,Round_Results!$B:$B,D$1,Round_Results!$A:$A,$A4)</f>
        <v/>
      </c>
      <c r="E4" s="3">
        <f>SUMIFS(Round_Results!$H:$H,Round_Results!$B:$B,E$1,Round_Results!$A:$A,$A4)</f>
        <v/>
      </c>
      <c r="F4" s="3">
        <f>SUMIFS(Round_Results!$H:$H,Round_Results!$B:$B,F$1,Round_Results!$A:$A,$A4)</f>
        <v/>
      </c>
    </row>
    <row r="5">
      <c r="A5" t="n">
        <v>4</v>
      </c>
      <c r="B5" s="3">
        <f>SUMIFS(Round_Results!$H:$H,Round_Results!$B:$B,B$1,Round_Results!$A:$A,$A5)</f>
        <v/>
      </c>
      <c r="C5" s="3">
        <f>SUMIFS(Round_Results!$H:$H,Round_Results!$B:$B,C$1,Round_Results!$A:$A,$A5)</f>
        <v/>
      </c>
      <c r="D5" s="3">
        <f>SUMIFS(Round_Results!$H:$H,Round_Results!$B:$B,D$1,Round_Results!$A:$A,$A5)</f>
        <v/>
      </c>
      <c r="E5" s="3">
        <f>SUMIFS(Round_Results!$H:$H,Round_Results!$B:$B,E$1,Round_Results!$A:$A,$A5)</f>
        <v/>
      </c>
      <c r="F5" s="3">
        <f>SUMIFS(Round_Results!$H:$H,Round_Results!$B:$B,F$1,Round_Results!$A:$A,$A5)</f>
        <v/>
      </c>
    </row>
    <row r="6">
      <c r="A6" t="n">
        <v>5</v>
      </c>
      <c r="B6" s="3">
        <f>SUMIFS(Round_Results!$H:$H,Round_Results!$B:$B,B$1,Round_Results!$A:$A,$A6)</f>
        <v/>
      </c>
      <c r="C6" s="3">
        <f>SUMIFS(Round_Results!$H:$H,Round_Results!$B:$B,C$1,Round_Results!$A:$A,$A6)</f>
        <v/>
      </c>
      <c r="D6" s="3">
        <f>SUMIFS(Round_Results!$H:$H,Round_Results!$B:$B,D$1,Round_Results!$A:$A,$A6)</f>
        <v/>
      </c>
      <c r="E6" s="3">
        <f>SUMIFS(Round_Results!$H:$H,Round_Results!$B:$B,E$1,Round_Results!$A:$A,$A6)</f>
        <v/>
      </c>
      <c r="F6" s="3">
        <f>SUMIFS(Round_Results!$H:$H,Round_Results!$B:$B,F$1,Round_Results!$A:$A,$A6)</f>
        <v/>
      </c>
    </row>
    <row r="7">
      <c r="A7" t="n">
        <v>6</v>
      </c>
      <c r="B7" s="3">
        <f>SUMIFS(Round_Results!$H:$H,Round_Results!$B:$B,B$1,Round_Results!$A:$A,$A7)</f>
        <v/>
      </c>
      <c r="C7" s="3">
        <f>SUMIFS(Round_Results!$H:$H,Round_Results!$B:$B,C$1,Round_Results!$A:$A,$A7)</f>
        <v/>
      </c>
      <c r="D7" s="3">
        <f>SUMIFS(Round_Results!$H:$H,Round_Results!$B:$B,D$1,Round_Results!$A:$A,$A7)</f>
        <v/>
      </c>
      <c r="E7" s="3">
        <f>SUMIFS(Round_Results!$H:$H,Round_Results!$B:$B,E$1,Round_Results!$A:$A,$A7)</f>
        <v/>
      </c>
      <c r="F7" s="3">
        <f>SUMIFS(Round_Results!$H:$H,Round_Results!$B:$B,F$1,Round_Results!$A:$A,$A7)</f>
        <v/>
      </c>
    </row>
    <row r="8">
      <c r="A8" t="n">
        <v>7</v>
      </c>
      <c r="B8" s="3">
        <f>SUMIFS(Round_Results!$H:$H,Round_Results!$B:$B,B$1,Round_Results!$A:$A,$A8)</f>
        <v/>
      </c>
      <c r="C8" s="3">
        <f>SUMIFS(Round_Results!$H:$H,Round_Results!$B:$B,C$1,Round_Results!$A:$A,$A8)</f>
        <v/>
      </c>
      <c r="D8" s="3">
        <f>SUMIFS(Round_Results!$H:$H,Round_Results!$B:$B,D$1,Round_Results!$A:$A,$A8)</f>
        <v/>
      </c>
      <c r="E8" s="3">
        <f>SUMIFS(Round_Results!$H:$H,Round_Results!$B:$B,E$1,Round_Results!$A:$A,$A8)</f>
        <v/>
      </c>
      <c r="F8" s="3">
        <f>SUMIFS(Round_Results!$H:$H,Round_Results!$B:$B,F$1,Round_Results!$A:$A,$A8)</f>
        <v/>
      </c>
    </row>
    <row r="9">
      <c r="A9" t="n">
        <v>8</v>
      </c>
      <c r="B9" s="3">
        <f>SUMIFS(Round_Results!$H:$H,Round_Results!$B:$B,B$1,Round_Results!$A:$A,$A9)</f>
        <v/>
      </c>
      <c r="C9" s="3">
        <f>SUMIFS(Round_Results!$H:$H,Round_Results!$B:$B,C$1,Round_Results!$A:$A,$A9)</f>
        <v/>
      </c>
      <c r="D9" s="3">
        <f>SUMIFS(Round_Results!$H:$H,Round_Results!$B:$B,D$1,Round_Results!$A:$A,$A9)</f>
        <v/>
      </c>
      <c r="E9" s="3">
        <f>SUMIFS(Round_Results!$H:$H,Round_Results!$B:$B,E$1,Round_Results!$A:$A,$A9)</f>
        <v/>
      </c>
      <c r="F9" s="3">
        <f>SUMIFS(Round_Results!$H:$H,Round_Results!$B:$B,F$1,Round_Results!$A:$A,$A9)</f>
        <v/>
      </c>
    </row>
    <row r="10">
      <c r="A10" t="n">
        <v>9</v>
      </c>
      <c r="B10" s="3">
        <f>SUMIFS(Round_Results!$H:$H,Round_Results!$B:$B,B$1,Round_Results!$A:$A,$A10)</f>
        <v/>
      </c>
      <c r="C10" s="3">
        <f>SUMIFS(Round_Results!$H:$H,Round_Results!$B:$B,C$1,Round_Results!$A:$A,$A10)</f>
        <v/>
      </c>
      <c r="D10" s="3">
        <f>SUMIFS(Round_Results!$H:$H,Round_Results!$B:$B,D$1,Round_Results!$A:$A,$A10)</f>
        <v/>
      </c>
      <c r="E10" s="3">
        <f>SUMIFS(Round_Results!$H:$H,Round_Results!$B:$B,E$1,Round_Results!$A:$A,$A10)</f>
        <v/>
      </c>
      <c r="F10" s="3">
        <f>SUMIFS(Round_Results!$H:$H,Round_Results!$B:$B,F$1,Round_Results!$A:$A,$A10)</f>
        <v/>
      </c>
    </row>
    <row r="11">
      <c r="A11" t="n">
        <v>10</v>
      </c>
      <c r="B11" s="3">
        <f>SUMIFS(Round_Results!$H:$H,Round_Results!$B:$B,B$1,Round_Results!$A:$A,$A11)</f>
        <v/>
      </c>
      <c r="C11" s="3">
        <f>SUMIFS(Round_Results!$H:$H,Round_Results!$B:$B,C$1,Round_Results!$A:$A,$A11)</f>
        <v/>
      </c>
      <c r="D11" s="3">
        <f>SUMIFS(Round_Results!$H:$H,Round_Results!$B:$B,D$1,Round_Results!$A:$A,$A11)</f>
        <v/>
      </c>
      <c r="E11" s="3">
        <f>SUMIFS(Round_Results!$H:$H,Round_Results!$B:$B,E$1,Round_Results!$A:$A,$A11)</f>
        <v/>
      </c>
      <c r="F11" s="3">
        <f>SUMIFS(Round_Results!$H:$H,Round_Results!$B:$B,F$1,Round_Results!$A:$A,$A11)</f>
        <v/>
      </c>
    </row>
    <row r="12">
      <c r="A12" t="n">
        <v>11</v>
      </c>
      <c r="B12" s="3">
        <f>SUMIFS(Round_Results!$H:$H,Round_Results!$B:$B,B$1,Round_Results!$A:$A,$A12)</f>
        <v/>
      </c>
      <c r="C12" s="3">
        <f>SUMIFS(Round_Results!$H:$H,Round_Results!$B:$B,C$1,Round_Results!$A:$A,$A12)</f>
        <v/>
      </c>
      <c r="D12" s="3">
        <f>SUMIFS(Round_Results!$H:$H,Round_Results!$B:$B,D$1,Round_Results!$A:$A,$A12)</f>
        <v/>
      </c>
      <c r="E12" s="3">
        <f>SUMIFS(Round_Results!$H:$H,Round_Results!$B:$B,E$1,Round_Results!$A:$A,$A12)</f>
        <v/>
      </c>
      <c r="F12" s="3">
        <f>SUMIFS(Round_Results!$H:$H,Round_Results!$B:$B,F$1,Round_Results!$A:$A,$A12)</f>
        <v/>
      </c>
    </row>
    <row r="13">
      <c r="A13" t="n">
        <v>12</v>
      </c>
      <c r="B13" s="3">
        <f>SUMIFS(Round_Results!$H:$H,Round_Results!$B:$B,B$1,Round_Results!$A:$A,$A13)</f>
        <v/>
      </c>
      <c r="C13" s="3">
        <f>SUMIFS(Round_Results!$H:$H,Round_Results!$B:$B,C$1,Round_Results!$A:$A,$A13)</f>
        <v/>
      </c>
      <c r="D13" s="3">
        <f>SUMIFS(Round_Results!$H:$H,Round_Results!$B:$B,D$1,Round_Results!$A:$A,$A13)</f>
        <v/>
      </c>
      <c r="E13" s="3">
        <f>SUMIFS(Round_Results!$H:$H,Round_Results!$B:$B,E$1,Round_Results!$A:$A,$A13)</f>
        <v/>
      </c>
      <c r="F13" s="3">
        <f>SUMIFS(Round_Results!$H:$H,Round_Results!$B:$B,F$1,Round_Results!$A:$A,$A13)</f>
        <v/>
      </c>
    </row>
    <row r="14">
      <c r="A14" t="n">
        <v>13</v>
      </c>
      <c r="B14" s="3">
        <f>SUMIFS(Round_Results!$H:$H,Round_Results!$B:$B,B$1,Round_Results!$A:$A,$A14)</f>
        <v/>
      </c>
      <c r="C14" s="3">
        <f>SUMIFS(Round_Results!$H:$H,Round_Results!$B:$B,C$1,Round_Results!$A:$A,$A14)</f>
        <v/>
      </c>
      <c r="D14" s="3">
        <f>SUMIFS(Round_Results!$H:$H,Round_Results!$B:$B,D$1,Round_Results!$A:$A,$A14)</f>
        <v/>
      </c>
      <c r="E14" s="3">
        <f>SUMIFS(Round_Results!$H:$H,Round_Results!$B:$B,E$1,Round_Results!$A:$A,$A14)</f>
        <v/>
      </c>
      <c r="F14" s="3">
        <f>SUMIFS(Round_Results!$H:$H,Round_Results!$B:$B,F$1,Round_Results!$A:$A,$A14)</f>
        <v/>
      </c>
    </row>
    <row r="15">
      <c r="A15" t="n">
        <v>14</v>
      </c>
      <c r="B15" s="3">
        <f>SUMIFS(Round_Results!$H:$H,Round_Results!$B:$B,B$1,Round_Results!$A:$A,$A15)</f>
        <v/>
      </c>
      <c r="C15" s="3">
        <f>SUMIFS(Round_Results!$H:$H,Round_Results!$B:$B,C$1,Round_Results!$A:$A,$A15)</f>
        <v/>
      </c>
      <c r="D15" s="3">
        <f>SUMIFS(Round_Results!$H:$H,Round_Results!$B:$B,D$1,Round_Results!$A:$A,$A15)</f>
        <v/>
      </c>
      <c r="E15" s="3">
        <f>SUMIFS(Round_Results!$H:$H,Round_Results!$B:$B,E$1,Round_Results!$A:$A,$A15)</f>
        <v/>
      </c>
      <c r="F15" s="3">
        <f>SUMIFS(Round_Results!$H:$H,Round_Results!$B:$B,F$1,Round_Results!$A:$A,$A15)</f>
        <v/>
      </c>
    </row>
    <row r="16">
      <c r="A16" t="n">
        <v>15</v>
      </c>
      <c r="B16" s="3">
        <f>SUMIFS(Round_Results!$H:$H,Round_Results!$B:$B,B$1,Round_Results!$A:$A,$A16)</f>
        <v/>
      </c>
      <c r="C16" s="3">
        <f>SUMIFS(Round_Results!$H:$H,Round_Results!$B:$B,C$1,Round_Results!$A:$A,$A16)</f>
        <v/>
      </c>
      <c r="D16" s="3">
        <f>SUMIFS(Round_Results!$H:$H,Round_Results!$B:$B,D$1,Round_Results!$A:$A,$A16)</f>
        <v/>
      </c>
      <c r="E16" s="3">
        <f>SUMIFS(Round_Results!$H:$H,Round_Results!$B:$B,E$1,Round_Results!$A:$A,$A16)</f>
        <v/>
      </c>
      <c r="F16" s="3">
        <f>SUMIFS(Round_Results!$H:$H,Round_Results!$B:$B,F$1,Round_Results!$A:$A,$A16)</f>
        <v/>
      </c>
    </row>
    <row r="17">
      <c r="A17" t="n">
        <v>16</v>
      </c>
      <c r="B17" s="3">
        <f>SUMIFS(Round_Results!$H:$H,Round_Results!$B:$B,B$1,Round_Results!$A:$A,$A17)</f>
        <v/>
      </c>
      <c r="C17" s="3">
        <f>SUMIFS(Round_Results!$H:$H,Round_Results!$B:$B,C$1,Round_Results!$A:$A,$A17)</f>
        <v/>
      </c>
      <c r="D17" s="3">
        <f>SUMIFS(Round_Results!$H:$H,Round_Results!$B:$B,D$1,Round_Results!$A:$A,$A17)</f>
        <v/>
      </c>
      <c r="E17" s="3">
        <f>SUMIFS(Round_Results!$H:$H,Round_Results!$B:$B,E$1,Round_Results!$A:$A,$A17)</f>
        <v/>
      </c>
      <c r="F17" s="3">
        <f>SUMIFS(Round_Results!$H:$H,Round_Results!$B:$B,F$1,Round_Results!$A:$A,$A17)</f>
        <v/>
      </c>
    </row>
    <row r="18">
      <c r="A18" t="n">
        <v>17</v>
      </c>
      <c r="B18" s="3">
        <f>SUMIFS(Round_Results!$H:$H,Round_Results!$B:$B,B$1,Round_Results!$A:$A,$A18)</f>
        <v/>
      </c>
      <c r="C18" s="3">
        <f>SUMIFS(Round_Results!$H:$H,Round_Results!$B:$B,C$1,Round_Results!$A:$A,$A18)</f>
        <v/>
      </c>
      <c r="D18" s="3">
        <f>SUMIFS(Round_Results!$H:$H,Round_Results!$B:$B,D$1,Round_Results!$A:$A,$A18)</f>
        <v/>
      </c>
      <c r="E18" s="3">
        <f>SUMIFS(Round_Results!$H:$H,Round_Results!$B:$B,E$1,Round_Results!$A:$A,$A18)</f>
        <v/>
      </c>
      <c r="F18" s="3">
        <f>SUMIFS(Round_Results!$H:$H,Round_Results!$B:$B,F$1,Round_Results!$A:$A,$A18)</f>
        <v/>
      </c>
    </row>
    <row r="19">
      <c r="A19" t="n">
        <v>18</v>
      </c>
      <c r="B19" s="3">
        <f>SUMIFS(Round_Results!$H:$H,Round_Results!$B:$B,B$1,Round_Results!$A:$A,$A19)</f>
        <v/>
      </c>
      <c r="C19" s="3">
        <f>SUMIFS(Round_Results!$H:$H,Round_Results!$B:$B,C$1,Round_Results!$A:$A,$A19)</f>
        <v/>
      </c>
      <c r="D19" s="3">
        <f>SUMIFS(Round_Results!$H:$H,Round_Results!$B:$B,D$1,Round_Results!$A:$A,$A19)</f>
        <v/>
      </c>
      <c r="E19" s="3">
        <f>SUMIFS(Round_Results!$H:$H,Round_Results!$B:$B,E$1,Round_Results!$A:$A,$A19)</f>
        <v/>
      </c>
      <c r="F19" s="3">
        <f>SUMIFS(Round_Results!$H:$H,Round_Results!$B:$B,F$1,Round_Results!$A:$A,$A19)</f>
        <v/>
      </c>
    </row>
    <row r="20">
      <c r="A20" t="n">
        <v>19</v>
      </c>
      <c r="B20" s="3">
        <f>SUMIFS(Round_Results!$H:$H,Round_Results!$B:$B,B$1,Round_Results!$A:$A,$A20)</f>
        <v/>
      </c>
      <c r="C20" s="3">
        <f>SUMIFS(Round_Results!$H:$H,Round_Results!$B:$B,C$1,Round_Results!$A:$A,$A20)</f>
        <v/>
      </c>
      <c r="D20" s="3">
        <f>SUMIFS(Round_Results!$H:$H,Round_Results!$B:$B,D$1,Round_Results!$A:$A,$A20)</f>
        <v/>
      </c>
      <c r="E20" s="3">
        <f>SUMIFS(Round_Results!$H:$H,Round_Results!$B:$B,E$1,Round_Results!$A:$A,$A20)</f>
        <v/>
      </c>
      <c r="F20" s="3">
        <f>SUMIFS(Round_Results!$H:$H,Round_Results!$B:$B,F$1,Round_Results!$A:$A,$A20)</f>
        <v/>
      </c>
    </row>
    <row r="21">
      <c r="A21" t="n">
        <v>20</v>
      </c>
      <c r="B21" s="3">
        <f>SUMIFS(Round_Results!$H:$H,Round_Results!$B:$B,B$1,Round_Results!$A:$A,$A21)</f>
        <v/>
      </c>
      <c r="C21" s="3">
        <f>SUMIFS(Round_Results!$H:$H,Round_Results!$B:$B,C$1,Round_Results!$A:$A,$A21)</f>
        <v/>
      </c>
      <c r="D21" s="3">
        <f>SUMIFS(Round_Results!$H:$H,Round_Results!$B:$B,D$1,Round_Results!$A:$A,$A21)</f>
        <v/>
      </c>
      <c r="E21" s="3">
        <f>SUMIFS(Round_Results!$H:$H,Round_Results!$B:$B,E$1,Round_Results!$A:$A,$A21)</f>
        <v/>
      </c>
      <c r="F21" s="3">
        <f>SUMIFS(Round_Results!$H:$H,Round_Results!$B:$B,F$1,Round_Results!$A:$A,$A21)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2026-05-20T15:22:19Z</dcterms:created>
  <dcterms:modified xsi:type="dcterms:W3CDTF">2026-05-20T15:22:19Z</dcterms:modified>
</cp:coreProperties>
</file>