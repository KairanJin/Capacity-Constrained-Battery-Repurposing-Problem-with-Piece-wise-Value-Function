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ound_Results" sheetId="2" state="visible" r:id="rId2"/>
    <sheet name="Method_Summary" sheetId="3" state="visible" r:id="rId3"/>
    <sheet name="ChartData_CumReward" sheetId="4" state="visible" r:id="rId4"/>
    <sheet name="ChartData_TierCells" sheetId="5" state="visible" r:id="rId5"/>
    <sheet name="ChartData_Runtime" sheetId="6" state="visible" r:id="rId6"/>
    <sheet name="Char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五种算法每轮累计收益对比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'ChartData_CumReward'!B1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</f>
            </numRef>
          </cat>
          <val>
            <numRef>
              <f>'ChartData_CumReward'!$B$2</f>
            </numRef>
          </val>
        </ser>
        <ser>
          <idx val="1"/>
          <order val="1"/>
          <tx>
            <strRef>
              <f>'ChartData_CumReward'!C1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</f>
            </numRef>
          </cat>
          <val>
            <numRef>
              <f>'ChartData_CumReward'!$C$2</f>
            </numRef>
          </val>
        </ser>
        <ser>
          <idx val="2"/>
          <order val="2"/>
          <tx>
            <strRef>
              <f>'ChartData_CumReward'!D1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</f>
            </numRef>
          </cat>
          <val>
            <numRef>
              <f>'ChartData_CumReward'!$D$2</f>
            </numRef>
          </val>
        </ser>
        <ser>
          <idx val="3"/>
          <order val="3"/>
          <tx>
            <strRef>
              <f>'ChartData_CumReward'!E1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</f>
            </numRef>
          </cat>
          <val>
            <numRef>
              <f>'ChartData_CumReward'!$E$2</f>
            </numRef>
          </val>
        </ser>
        <ser>
          <idx val="4"/>
          <order val="4"/>
          <tx>
            <strRef>
              <f>'ChartData_CumReward'!F1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</f>
            </numRef>
          </cat>
          <val>
            <numRef>
              <f>'ChartData_CumReward'!$F$2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轮次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累计收益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五种算法在20轮中的各类电芯重组总数量对比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'ChartData_TierCells'!B1</f>
            </strRef>
          </tx>
          <spPr>
            <a:ln>
              <a:prstDash val="solid"/>
            </a:ln>
          </spPr>
          <cat>
            <numRef>
              <f>'ChartData_TierCells'!$A$2:$A$6</f>
            </numRef>
          </cat>
          <val>
            <numRef>
              <f>'ChartData_TierCells'!$B$2:$B$6</f>
            </numRef>
          </val>
        </ser>
        <ser>
          <idx val="1"/>
          <order val="1"/>
          <tx>
            <strRef>
              <f>'ChartData_TierCells'!C1</f>
            </strRef>
          </tx>
          <spPr>
            <a:ln>
              <a:prstDash val="solid"/>
            </a:ln>
          </spPr>
          <cat>
            <numRef>
              <f>'ChartData_TierCells'!$A$2:$A$6</f>
            </numRef>
          </cat>
          <val>
            <numRef>
              <f>'ChartData_TierCells'!$C$2:$C$6</f>
            </numRef>
          </val>
        </ser>
        <ser>
          <idx val="2"/>
          <order val="2"/>
          <tx>
            <strRef>
              <f>'ChartData_TierCells'!D1</f>
            </strRef>
          </tx>
          <spPr>
            <a:ln>
              <a:prstDash val="solid"/>
            </a:ln>
          </spPr>
          <cat>
            <numRef>
              <f>'ChartData_TierCells'!$A$2:$A$6</f>
            </numRef>
          </cat>
          <val>
            <numRef>
              <f>'ChartData_TierCells'!$D$2:$D$6</f>
            </numRef>
          </val>
        </ser>
        <ser>
          <idx val="3"/>
          <order val="3"/>
          <tx>
            <strRef>
              <f>'ChartData_TierCells'!E1</f>
            </strRef>
          </tx>
          <spPr>
            <a:ln>
              <a:prstDash val="solid"/>
            </a:ln>
          </spPr>
          <cat>
            <numRef>
              <f>'ChartData_TierCells'!$A$2:$A$6</f>
            </numRef>
          </cat>
          <val>
            <numRef>
              <f>'ChartData_TierCells'!$E$2:$E$6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总重组电芯数量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算法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五种算法每轮运行时间对比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'ChartData_Runtime'!B1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</f>
            </numRef>
          </cat>
          <val>
            <numRef>
              <f>'ChartData_Runtime'!$B$2</f>
            </numRef>
          </val>
        </ser>
        <ser>
          <idx val="1"/>
          <order val="1"/>
          <tx>
            <strRef>
              <f>'ChartData_Runtime'!C1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</f>
            </numRef>
          </cat>
          <val>
            <numRef>
              <f>'ChartData_Runtime'!$C$2</f>
            </numRef>
          </val>
        </ser>
        <ser>
          <idx val="2"/>
          <order val="2"/>
          <tx>
            <strRef>
              <f>'ChartData_Runtime'!D1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</f>
            </numRef>
          </cat>
          <val>
            <numRef>
              <f>'ChartData_Runtime'!$D$2</f>
            </numRef>
          </val>
        </ser>
        <ser>
          <idx val="3"/>
          <order val="3"/>
          <tx>
            <strRef>
              <f>'ChartData_Runtime'!E1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</f>
            </numRef>
          </cat>
          <val>
            <numRef>
              <f>'ChartData_Runtime'!$E$2</f>
            </numRef>
          </val>
        </ser>
        <ser>
          <idx val="4"/>
          <order val="4"/>
          <tx>
            <strRef>
              <f>'ChartData_Runtime'!F1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</f>
            </numRef>
          </cat>
          <val>
            <numRef>
              <f>'ChartData_Runtime'!$F$2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轮次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运行时间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19</row>
      <rowOff>0</rowOff>
    </from>
    <ext cx="648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19</col>
      <colOff>0</colOff>
      <row>0</row>
      <rowOff>0</rowOff>
    </from>
    <ext cx="6480000" cy="32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0" customWidth="1" min="1" max="1"/>
    <col width="25" customWidth="1" min="2" max="2"/>
  </cols>
  <sheetData>
    <row r="1">
      <c r="A1" s="1" t="inlineStr">
        <is>
          <t>20轮重组实验 Excel 模板</t>
        </is>
      </c>
    </row>
    <row r="3">
      <c r="A3" t="inlineStr">
        <is>
          <t>说明：</t>
        </is>
      </c>
    </row>
    <row r="4">
      <c r="A4" t="inlineStr">
        <is>
          <t>1. Round_Results 为逐轮明细表，后续可直接按相同列顺序粘贴数据。</t>
        </is>
      </c>
    </row>
    <row r="5">
      <c r="A5" t="inlineStr">
        <is>
          <t>2. ChartData_CumReward：五种算法每轮累计收益绘图数据。</t>
        </is>
      </c>
    </row>
    <row r="6">
      <c r="A6" t="inlineStr">
        <is>
          <t>3. ChartData_TierCells：五种算法20轮中各类电芯重组总数量绘图数据。</t>
        </is>
      </c>
    </row>
    <row r="7">
      <c r="A7" t="inlineStr">
        <is>
          <t>4. ChartData_Runtime：五种算法每轮运行时间绘图数据。</t>
        </is>
      </c>
    </row>
    <row r="8">
      <c r="A8" t="inlineStr">
        <is>
          <t>5. Charts 工作表内已预置三张图。</t>
        </is>
      </c>
    </row>
    <row r="10">
      <c r="A10" t="inlineStr">
        <is>
          <t>方法列表：</t>
        </is>
      </c>
    </row>
    <row r="11">
      <c r="A11" t="inlineStr">
        <is>
          <t>RRP_KMEANS</t>
        </is>
      </c>
      <c r="B11" t="inlineStr">
        <is>
          <t>KMeans</t>
        </is>
      </c>
    </row>
    <row r="12">
      <c r="A12" t="inlineStr">
        <is>
          <t>RRP_KMEANS_VNS</t>
        </is>
      </c>
      <c r="B12" t="inlineStr">
        <is>
          <t>KMeans_VNS</t>
        </is>
      </c>
    </row>
    <row r="13">
      <c r="A13" t="inlineStr">
        <is>
          <t>RRP_MS_KMEANS_VNS</t>
        </is>
      </c>
      <c r="B13" t="inlineStr">
        <is>
          <t>MS_KMeans_VNS</t>
        </is>
      </c>
    </row>
    <row r="14">
      <c r="A14" t="inlineStr">
        <is>
          <t>RRP_GA</t>
        </is>
      </c>
      <c r="B14" t="inlineStr">
        <is>
          <t>GA</t>
        </is>
      </c>
    </row>
    <row r="15">
      <c r="A15" t="inlineStr">
        <is>
          <t>RRP_SA</t>
        </is>
      </c>
      <c r="B15" t="inlineStr">
        <is>
          <t>SA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0" customWidth="1" min="3" max="3"/>
    <col width="12" customWidth="1" min="4" max="4"/>
    <col width="12" customWidth="1" min="5" max="5"/>
    <col width="14" customWidth="1" min="6" max="6"/>
    <col width="18" customWidth="1" min="7" max="7"/>
    <col width="12" customWidth="1" min="8" max="8"/>
    <col width="10" customWidth="1" min="9" max="9"/>
    <col width="12" customWidth="1" min="10" max="10"/>
    <col width="14" customWidth="1" min="11" max="11"/>
    <col width="14" customWidth="1" min="12" max="12"/>
    <col width="12" customWidth="1" min="13" max="13"/>
    <col width="12" customWidth="1" min="14" max="14"/>
    <col width="16" customWidth="1" min="15" max="15"/>
    <col width="18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28" customWidth="1" min="25" max="25"/>
    <col width="12" customWidth="1" min="26" max="26"/>
    <col width="12" customWidth="1" min="27" max="27"/>
    <col width="18" customWidth="1" min="28" max="28"/>
  </cols>
  <sheetData>
    <row r="1">
      <c r="A1" s="2" t="inlineStr">
        <is>
          <t>round</t>
        </is>
      </c>
      <c r="B1" s="2" t="inlineStr">
        <is>
          <t>method</t>
        </is>
      </c>
      <c r="C1" s="2" t="inlineStr">
        <is>
          <t>method_label</t>
        </is>
      </c>
      <c r="D1" s="2" t="inlineStr">
        <is>
          <t>new_cells</t>
        </is>
      </c>
      <c r="E1" s="2" t="inlineStr">
        <is>
          <t>pool_before</t>
        </is>
      </c>
      <c r="F1" s="2" t="inlineStr">
        <is>
          <t>reward</t>
        </is>
      </c>
      <c r="G1" s="2" t="inlineStr">
        <is>
          <t>cumulative_reward</t>
        </is>
      </c>
      <c r="H1" s="2" t="inlineStr">
        <is>
          <t>runtime</t>
        </is>
      </c>
      <c r="I1" s="2" t="inlineStr">
        <is>
          <t>n_packs</t>
        </is>
      </c>
      <c r="J1" s="2" t="inlineStr">
        <is>
          <t>used_cells</t>
        </is>
      </c>
      <c r="K1" s="2" t="inlineStr">
        <is>
          <t>leftover_cells</t>
        </is>
      </c>
      <c r="L1" s="2" t="inlineStr">
        <is>
          <t>utilization_rate</t>
        </is>
      </c>
      <c r="M1" s="2" t="inlineStr">
        <is>
          <t>avg_delta</t>
        </is>
      </c>
      <c r="N1" s="2" t="inlineStr">
        <is>
          <t>avg_phi</t>
        </is>
      </c>
      <c r="O1" s="2" t="inlineStr">
        <is>
          <t>reward_per_pack</t>
        </is>
      </c>
      <c r="P1" s="2" t="inlineStr">
        <is>
          <t>positive_pack_ratio</t>
        </is>
      </c>
      <c r="Q1" s="2" t="inlineStr">
        <is>
          <t>P1_packs</t>
        </is>
      </c>
      <c r="R1" s="2" t="inlineStr">
        <is>
          <t>P2_packs</t>
        </is>
      </c>
      <c r="S1" s="2" t="inlineStr">
        <is>
          <t>P3_packs</t>
        </is>
      </c>
      <c r="T1" s="2" t="inlineStr">
        <is>
          <t>P0_packs</t>
        </is>
      </c>
      <c r="U1" s="2" t="inlineStr">
        <is>
          <t>P1_cells</t>
        </is>
      </c>
      <c r="V1" s="2" t="inlineStr">
        <is>
          <t>P2_cells</t>
        </is>
      </c>
      <c r="W1" s="2" t="inlineStr">
        <is>
          <t>P3_cells</t>
        </is>
      </c>
      <c r="X1" s="2" t="inlineStr">
        <is>
          <t>P0_cells</t>
        </is>
      </c>
      <c r="Y1" s="2" t="inlineStr">
        <is>
          <t>tier_distribution</t>
        </is>
      </c>
      <c r="Z1" s="2" t="inlineStr">
        <is>
          <t>n_columns</t>
        </is>
      </c>
      <c r="AA1" s="2" t="inlineStr">
        <is>
          <t>gurobi_gap</t>
        </is>
      </c>
      <c r="AB1" s="2" t="inlineStr">
        <is>
          <t>n_feasible_groups</t>
        </is>
      </c>
    </row>
    <row r="2">
      <c r="A2" t="n">
        <v>1</v>
      </c>
      <c r="B2" t="inlineStr">
        <is>
          <t>RRP_KMEANS</t>
        </is>
      </c>
      <c r="C2" t="inlineStr">
        <is>
          <t>KMeans</t>
        </is>
      </c>
      <c r="D2" t="n">
        <v>500</v>
      </c>
      <c r="E2" t="n">
        <v>500</v>
      </c>
      <c r="F2" s="3" t="n">
        <v>277.7878618141518</v>
      </c>
      <c r="G2" s="3" t="n">
        <v>277.7878618141518</v>
      </c>
      <c r="H2" s="3" t="n">
        <v>0.09422159999667201</v>
      </c>
      <c r="I2" t="n">
        <v>60</v>
      </c>
      <c r="J2" t="n">
        <v>480</v>
      </c>
      <c r="K2" t="n">
        <v>20</v>
      </c>
      <c r="L2" s="4" t="n">
        <v>0.96</v>
      </c>
      <c r="M2" s="3" t="n">
        <v>0.07071272861603932</v>
      </c>
      <c r="N2" s="3" t="n">
        <v>-0.04370969433764999</v>
      </c>
      <c r="O2" s="3" t="n">
        <v>4.62979769690253</v>
      </c>
      <c r="P2" s="4" t="n">
        <v>0.7333333333333333</v>
      </c>
      <c r="Q2" t="n">
        <v>14</v>
      </c>
      <c r="R2" t="n">
        <v>16</v>
      </c>
      <c r="S2" t="n">
        <v>14</v>
      </c>
      <c r="T2" t="n">
        <v>16</v>
      </c>
      <c r="U2" t="n">
        <v>112</v>
      </c>
      <c r="V2" t="n">
        <v>128</v>
      </c>
      <c r="W2" t="n">
        <v>112</v>
      </c>
      <c r="X2" t="n">
        <v>128</v>
      </c>
      <c r="Y2" t="inlineStr">
        <is>
          <t>P1:14, P2:16, P3:14, P0:16</t>
        </is>
      </c>
      <c r="Z2" t="n">
        <v/>
      </c>
      <c r="AA2" t="n">
        <v/>
      </c>
      <c r="AB2" t="n">
        <v/>
      </c>
    </row>
    <row r="3">
      <c r="A3" t="n">
        <v>1</v>
      </c>
      <c r="B3" t="inlineStr">
        <is>
          <t>RRP_KMEANS_VNS</t>
        </is>
      </c>
      <c r="C3" t="inlineStr">
        <is>
          <t>KMeans_VNS</t>
        </is>
      </c>
      <c r="D3" t="n">
        <v>500</v>
      </c>
      <c r="E3" t="n">
        <v>500</v>
      </c>
      <c r="F3" s="3" t="n">
        <v>305.7656247098177</v>
      </c>
      <c r="G3" s="3" t="n">
        <v>305.7656247098177</v>
      </c>
      <c r="H3" s="3" t="n">
        <v>2.131051900010789</v>
      </c>
      <c r="I3" t="n">
        <v>61</v>
      </c>
      <c r="J3" t="n">
        <v>488</v>
      </c>
      <c r="K3" t="n">
        <v>12</v>
      </c>
      <c r="L3" s="4" t="n">
        <v>0.976</v>
      </c>
      <c r="M3" s="3" t="n">
        <v>0.07684435743681761</v>
      </c>
      <c r="N3" s="3" t="n">
        <v>-0.01824358035465207</v>
      </c>
      <c r="O3" s="3" t="n">
        <v>5.012551224751109</v>
      </c>
      <c r="P3" s="4" t="n">
        <v>0.8032786885245902</v>
      </c>
      <c r="Q3" t="n">
        <v>15</v>
      </c>
      <c r="R3" t="n">
        <v>18</v>
      </c>
      <c r="S3" t="n">
        <v>16</v>
      </c>
      <c r="T3" t="n">
        <v>12</v>
      </c>
      <c r="U3" t="n">
        <v>120</v>
      </c>
      <c r="V3" t="n">
        <v>144</v>
      </c>
      <c r="W3" t="n">
        <v>128</v>
      </c>
      <c r="X3" t="n">
        <v>96</v>
      </c>
      <c r="Y3" t="inlineStr">
        <is>
          <t>P1:15, P2:18, P3:16, P0:12</t>
        </is>
      </c>
      <c r="Z3" t="n">
        <v/>
      </c>
      <c r="AA3" t="n">
        <v/>
      </c>
      <c r="AB3" t="n">
        <v/>
      </c>
    </row>
    <row r="4">
      <c r="A4" t="n">
        <v>1</v>
      </c>
      <c r="B4" t="inlineStr">
        <is>
          <t>RRP_MS_KMEANS_VNS</t>
        </is>
      </c>
      <c r="C4" t="inlineStr">
        <is>
          <t>MS_KMeans_VNS</t>
        </is>
      </c>
      <c r="D4" t="n">
        <v>500</v>
      </c>
      <c r="E4" t="n">
        <v>500</v>
      </c>
      <c r="F4" s="3" t="n">
        <v>311.6926394688428</v>
      </c>
      <c r="G4" s="3" t="n">
        <v>311.6926394688428</v>
      </c>
      <c r="H4" s="3" t="n">
        <v>3.934146500003408</v>
      </c>
      <c r="I4" t="n">
        <v>59</v>
      </c>
      <c r="J4" t="n">
        <v>472</v>
      </c>
      <c r="K4" t="n">
        <v>28</v>
      </c>
      <c r="L4" s="4" t="n">
        <v>0.944</v>
      </c>
      <c r="M4" s="3" t="n">
        <v>0.1041900105617836</v>
      </c>
      <c r="N4" s="3" t="n">
        <v>-0.01489446860143206</v>
      </c>
      <c r="O4" s="3" t="n">
        <v>5.282926092692251</v>
      </c>
      <c r="P4" s="4" t="n">
        <v>0.8305084745762712</v>
      </c>
      <c r="Q4" t="n">
        <v>15</v>
      </c>
      <c r="R4" t="n">
        <v>20</v>
      </c>
      <c r="S4" t="n">
        <v>14</v>
      </c>
      <c r="T4" t="n">
        <v>10</v>
      </c>
      <c r="U4" t="n">
        <v>120</v>
      </c>
      <c r="V4" t="n">
        <v>160</v>
      </c>
      <c r="W4" t="n">
        <v>112</v>
      </c>
      <c r="X4" t="n">
        <v>80</v>
      </c>
      <c r="Y4" t="inlineStr">
        <is>
          <t>P1:15, P2:20, P3:14, P0:10</t>
        </is>
      </c>
      <c r="Z4" t="n">
        <v/>
      </c>
      <c r="AA4" t="n">
        <v/>
      </c>
      <c r="AB4" t="n">
        <v/>
      </c>
    </row>
    <row r="5">
      <c r="A5" t="n">
        <v>1</v>
      </c>
      <c r="B5" t="inlineStr">
        <is>
          <t>RRP_GA</t>
        </is>
      </c>
      <c r="C5" t="inlineStr">
        <is>
          <t>GA</t>
        </is>
      </c>
      <c r="D5" t="n">
        <v>500</v>
      </c>
      <c r="E5" t="n">
        <v>500</v>
      </c>
      <c r="F5" s="3" t="n">
        <v>309.7472154233289</v>
      </c>
      <c r="G5" s="3" t="n">
        <v>309.7472154233289</v>
      </c>
      <c r="H5" s="3" t="n">
        <v>92.16311390000919</v>
      </c>
      <c r="I5" t="n">
        <v>60</v>
      </c>
      <c r="J5" t="n">
        <v>480</v>
      </c>
      <c r="K5" t="n">
        <v>20</v>
      </c>
      <c r="L5" s="4" t="n">
        <v>0.96</v>
      </c>
      <c r="M5" s="3" t="n">
        <v>0.08426152555701787</v>
      </c>
      <c r="N5" s="3" t="n">
        <v>-0.0001740701236197883</v>
      </c>
      <c r="O5" s="3" t="n">
        <v>5.162453590388815</v>
      </c>
      <c r="P5" s="4" t="n">
        <v>0.8</v>
      </c>
      <c r="Q5" t="n">
        <v>16</v>
      </c>
      <c r="R5" t="n">
        <v>18</v>
      </c>
      <c r="S5" t="n">
        <v>14</v>
      </c>
      <c r="T5" t="n">
        <v>12</v>
      </c>
      <c r="U5" t="n">
        <v>128</v>
      </c>
      <c r="V5" t="n">
        <v>144</v>
      </c>
      <c r="W5" t="n">
        <v>112</v>
      </c>
      <c r="X5" t="n">
        <v>96</v>
      </c>
      <c r="Y5" t="inlineStr">
        <is>
          <t>P1:16, P2:18, P3:14, P0:12</t>
        </is>
      </c>
      <c r="Z5" t="n">
        <v/>
      </c>
      <c r="AA5" t="n">
        <v/>
      </c>
      <c r="AB5" t="n">
        <v/>
      </c>
    </row>
    <row r="6">
      <c r="A6" t="n">
        <v>1</v>
      </c>
      <c r="B6" t="inlineStr">
        <is>
          <t>RRP_SA</t>
        </is>
      </c>
      <c r="C6" t="inlineStr">
        <is>
          <t>SA</t>
        </is>
      </c>
      <c r="D6" t="n">
        <v>500</v>
      </c>
      <c r="E6" t="n">
        <v>500</v>
      </c>
      <c r="F6" s="3" t="n">
        <v>351.7149628521616</v>
      </c>
      <c r="G6" s="3" t="n">
        <v>351.7149628521616</v>
      </c>
      <c r="H6" s="3" t="n">
        <v>1.774691500002518</v>
      </c>
      <c r="I6" t="n">
        <v>61</v>
      </c>
      <c r="J6" t="n">
        <v>488</v>
      </c>
      <c r="K6" t="n">
        <v>12</v>
      </c>
      <c r="L6" s="4" t="n">
        <v>0.976</v>
      </c>
      <c r="M6" s="3" t="n">
        <v>0.4213236550289721</v>
      </c>
      <c r="N6" s="3" t="n">
        <v>0.008055298969313559</v>
      </c>
      <c r="O6" s="3" t="n">
        <v>5.765819063150191</v>
      </c>
      <c r="P6" s="4" t="n">
        <v>0.9016393442622951</v>
      </c>
      <c r="Q6" t="n">
        <v>17</v>
      </c>
      <c r="R6" t="n">
        <v>23</v>
      </c>
      <c r="S6" t="n">
        <v>15</v>
      </c>
      <c r="T6" t="n">
        <v>6</v>
      </c>
      <c r="U6" t="n">
        <v>136</v>
      </c>
      <c r="V6" t="n">
        <v>184</v>
      </c>
      <c r="W6" t="n">
        <v>120</v>
      </c>
      <c r="X6" t="n">
        <v>48</v>
      </c>
      <c r="Y6" t="inlineStr">
        <is>
          <t>P1:17, P2:23, P3:15, P0:6</t>
        </is>
      </c>
      <c r="Z6" t="n">
        <v/>
      </c>
      <c r="AA6" t="n">
        <v/>
      </c>
      <c r="AB6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3" max="3"/>
    <col width="22" customWidth="1" min="4" max="4"/>
    <col width="16" customWidth="1" min="5" max="5"/>
    <col width="14" customWidth="1" min="6" max="6"/>
    <col width="14" customWidth="1" min="7" max="7"/>
    <col width="16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2" t="inlineStr">
        <is>
          <t>method</t>
        </is>
      </c>
      <c r="B1" s="2" t="inlineStr">
        <is>
          <t>method_label</t>
        </is>
      </c>
      <c r="C1" s="2" t="inlineStr">
        <is>
          <t>total_reward</t>
        </is>
      </c>
      <c r="D1" s="2" t="inlineStr">
        <is>
          <t>final_cumulative_reward</t>
        </is>
      </c>
      <c r="E1" s="2" t="inlineStr">
        <is>
          <t>total_runtime</t>
        </is>
      </c>
      <c r="F1" s="2" t="inlineStr">
        <is>
          <t>avg_runtime</t>
        </is>
      </c>
      <c r="G1" s="2" t="inlineStr">
        <is>
          <t>total_packs</t>
        </is>
      </c>
      <c r="H1" s="2" t="inlineStr">
        <is>
          <t>total_used_cells</t>
        </is>
      </c>
      <c r="I1" s="2" t="inlineStr">
        <is>
          <t>final_leftover</t>
        </is>
      </c>
      <c r="J1" s="2" t="inlineStr">
        <is>
          <t>P1_cells_total</t>
        </is>
      </c>
      <c r="K1" s="2" t="inlineStr">
        <is>
          <t>P2_cells_total</t>
        </is>
      </c>
      <c r="L1" s="2" t="inlineStr">
        <is>
          <t>P3_cells_total</t>
        </is>
      </c>
      <c r="M1" s="2" t="inlineStr">
        <is>
          <t>P0_cells_total</t>
        </is>
      </c>
    </row>
    <row r="2">
      <c r="A2" t="inlineStr">
        <is>
          <t>RRP_KMEANS</t>
        </is>
      </c>
      <c r="B2" t="inlineStr">
        <is>
          <t>KMeans</t>
        </is>
      </c>
      <c r="C2" s="3">
        <f>SUMIFS(Round_Results!$F:$F,Round_Results!$B:$B,$A2)</f>
        <v/>
      </c>
      <c r="D2" s="3">
        <f>MAXIFS(Round_Results!$G:$G,Round_Results!$B:$B,$A2)</f>
        <v/>
      </c>
      <c r="E2" s="3">
        <f>SUMIFS(Round_Results!$H:$H,Round_Results!$B:$B,$A2)</f>
        <v/>
      </c>
      <c r="F2" s="3">
        <f>AVERAGEIFS(Round_Results!$H:$H,Round_Results!$B:$B,$A2)</f>
        <v/>
      </c>
      <c r="G2" s="3">
        <f>SUMIFS(Round_Results!$I:$I,Round_Results!$B:$B,$A2)</f>
        <v/>
      </c>
      <c r="H2" s="3">
        <f>SUMIFS(Round_Results!$J:$J,Round_Results!$B:$B,$A2)</f>
        <v/>
      </c>
      <c r="I2" s="3">
        <f>MAXIFS(Round_Results!$K:$K,Round_Results!$B:$B,$A2,Round_Results!$A:$A,1)</f>
        <v/>
      </c>
      <c r="J2" s="3">
        <f>SUMIFS(Round_Results!$U:$U,Round_Results!$B:$B,$A2)</f>
        <v/>
      </c>
      <c r="K2" s="3">
        <f>SUMIFS(Round_Results!$V:$V,Round_Results!$B:$B,$A2)</f>
        <v/>
      </c>
      <c r="L2" s="3">
        <f>SUMIFS(Round_Results!$W:$W,Round_Results!$B:$B,$A2)</f>
        <v/>
      </c>
      <c r="M2" s="3">
        <f>SUMIFS(Round_Results!$X:$X,Round_Results!$B:$B,$A2)</f>
        <v/>
      </c>
    </row>
    <row r="3">
      <c r="A3" t="inlineStr">
        <is>
          <t>RRP_KMEANS_VNS</t>
        </is>
      </c>
      <c r="B3" t="inlineStr">
        <is>
          <t>KMeans_VNS</t>
        </is>
      </c>
      <c r="C3" s="3">
        <f>SUMIFS(Round_Results!$F:$F,Round_Results!$B:$B,$A3)</f>
        <v/>
      </c>
      <c r="D3" s="3">
        <f>MAXIFS(Round_Results!$G:$G,Round_Results!$B:$B,$A3)</f>
        <v/>
      </c>
      <c r="E3" s="3">
        <f>SUMIFS(Round_Results!$H:$H,Round_Results!$B:$B,$A3)</f>
        <v/>
      </c>
      <c r="F3" s="3">
        <f>AVERAGEIFS(Round_Results!$H:$H,Round_Results!$B:$B,$A3)</f>
        <v/>
      </c>
      <c r="G3" s="3">
        <f>SUMIFS(Round_Results!$I:$I,Round_Results!$B:$B,$A3)</f>
        <v/>
      </c>
      <c r="H3" s="3">
        <f>SUMIFS(Round_Results!$J:$J,Round_Results!$B:$B,$A3)</f>
        <v/>
      </c>
      <c r="I3" s="3">
        <f>MAXIFS(Round_Results!$K:$K,Round_Results!$B:$B,$A3,Round_Results!$A:$A,1)</f>
        <v/>
      </c>
      <c r="J3" s="3">
        <f>SUMIFS(Round_Results!$U:$U,Round_Results!$B:$B,$A3)</f>
        <v/>
      </c>
      <c r="K3" s="3">
        <f>SUMIFS(Round_Results!$V:$V,Round_Results!$B:$B,$A3)</f>
        <v/>
      </c>
      <c r="L3" s="3">
        <f>SUMIFS(Round_Results!$W:$W,Round_Results!$B:$B,$A3)</f>
        <v/>
      </c>
      <c r="M3" s="3">
        <f>SUMIFS(Round_Results!$X:$X,Round_Results!$B:$B,$A3)</f>
        <v/>
      </c>
    </row>
    <row r="4">
      <c r="A4" t="inlineStr">
        <is>
          <t>RRP_MS_KMEANS_VNS</t>
        </is>
      </c>
      <c r="B4" t="inlineStr">
        <is>
          <t>MS_KMeans_VNS</t>
        </is>
      </c>
      <c r="C4" s="3">
        <f>SUMIFS(Round_Results!$F:$F,Round_Results!$B:$B,$A4)</f>
        <v/>
      </c>
      <c r="D4" s="3">
        <f>MAXIFS(Round_Results!$G:$G,Round_Results!$B:$B,$A4)</f>
        <v/>
      </c>
      <c r="E4" s="3">
        <f>SUMIFS(Round_Results!$H:$H,Round_Results!$B:$B,$A4)</f>
        <v/>
      </c>
      <c r="F4" s="3">
        <f>AVERAGEIFS(Round_Results!$H:$H,Round_Results!$B:$B,$A4)</f>
        <v/>
      </c>
      <c r="G4" s="3">
        <f>SUMIFS(Round_Results!$I:$I,Round_Results!$B:$B,$A4)</f>
        <v/>
      </c>
      <c r="H4" s="3">
        <f>SUMIFS(Round_Results!$J:$J,Round_Results!$B:$B,$A4)</f>
        <v/>
      </c>
      <c r="I4" s="3">
        <f>MAXIFS(Round_Results!$K:$K,Round_Results!$B:$B,$A4,Round_Results!$A:$A,1)</f>
        <v/>
      </c>
      <c r="J4" s="3">
        <f>SUMIFS(Round_Results!$U:$U,Round_Results!$B:$B,$A4)</f>
        <v/>
      </c>
      <c r="K4" s="3">
        <f>SUMIFS(Round_Results!$V:$V,Round_Results!$B:$B,$A4)</f>
        <v/>
      </c>
      <c r="L4" s="3">
        <f>SUMIFS(Round_Results!$W:$W,Round_Results!$B:$B,$A4)</f>
        <v/>
      </c>
      <c r="M4" s="3">
        <f>SUMIFS(Round_Results!$X:$X,Round_Results!$B:$B,$A4)</f>
        <v/>
      </c>
    </row>
    <row r="5">
      <c r="A5" t="inlineStr">
        <is>
          <t>RRP_GA</t>
        </is>
      </c>
      <c r="B5" t="inlineStr">
        <is>
          <t>GA</t>
        </is>
      </c>
      <c r="C5" s="3">
        <f>SUMIFS(Round_Results!$F:$F,Round_Results!$B:$B,$A5)</f>
        <v/>
      </c>
      <c r="D5" s="3">
        <f>MAXIFS(Round_Results!$G:$G,Round_Results!$B:$B,$A5)</f>
        <v/>
      </c>
      <c r="E5" s="3">
        <f>SUMIFS(Round_Results!$H:$H,Round_Results!$B:$B,$A5)</f>
        <v/>
      </c>
      <c r="F5" s="3">
        <f>AVERAGEIFS(Round_Results!$H:$H,Round_Results!$B:$B,$A5)</f>
        <v/>
      </c>
      <c r="G5" s="3">
        <f>SUMIFS(Round_Results!$I:$I,Round_Results!$B:$B,$A5)</f>
        <v/>
      </c>
      <c r="H5" s="3">
        <f>SUMIFS(Round_Results!$J:$J,Round_Results!$B:$B,$A5)</f>
        <v/>
      </c>
      <c r="I5" s="3">
        <f>MAXIFS(Round_Results!$K:$K,Round_Results!$B:$B,$A5,Round_Results!$A:$A,1)</f>
        <v/>
      </c>
      <c r="J5" s="3">
        <f>SUMIFS(Round_Results!$U:$U,Round_Results!$B:$B,$A5)</f>
        <v/>
      </c>
      <c r="K5" s="3">
        <f>SUMIFS(Round_Results!$V:$V,Round_Results!$B:$B,$A5)</f>
        <v/>
      </c>
      <c r="L5" s="3">
        <f>SUMIFS(Round_Results!$W:$W,Round_Results!$B:$B,$A5)</f>
        <v/>
      </c>
      <c r="M5" s="3">
        <f>SUMIFS(Round_Results!$X:$X,Round_Results!$B:$B,$A5)</f>
        <v/>
      </c>
    </row>
    <row r="6">
      <c r="A6" t="inlineStr">
        <is>
          <t>RRP_SA</t>
        </is>
      </c>
      <c r="B6" t="inlineStr">
        <is>
          <t>SA</t>
        </is>
      </c>
      <c r="C6" s="3">
        <f>SUMIFS(Round_Results!$F:$F,Round_Results!$B:$B,$A6)</f>
        <v/>
      </c>
      <c r="D6" s="3">
        <f>MAXIFS(Round_Results!$G:$G,Round_Results!$B:$B,$A6)</f>
        <v/>
      </c>
      <c r="E6" s="3">
        <f>SUMIFS(Round_Results!$H:$H,Round_Results!$B:$B,$A6)</f>
        <v/>
      </c>
      <c r="F6" s="3">
        <f>AVERAGEIFS(Round_Results!$H:$H,Round_Results!$B:$B,$A6)</f>
        <v/>
      </c>
      <c r="G6" s="3">
        <f>SUMIFS(Round_Results!$I:$I,Round_Results!$B:$B,$A6)</f>
        <v/>
      </c>
      <c r="H6" s="3">
        <f>SUMIFS(Round_Results!$J:$J,Round_Results!$B:$B,$A6)</f>
        <v/>
      </c>
      <c r="I6" s="3">
        <f>MAXIFS(Round_Results!$K:$K,Round_Results!$B:$B,$A6,Round_Results!$A:$A,1)</f>
        <v/>
      </c>
      <c r="J6" s="3">
        <f>SUMIFS(Round_Results!$U:$U,Round_Results!$B:$B,$A6)</f>
        <v/>
      </c>
      <c r="K6" s="3">
        <f>SUMIFS(Round_Results!$V:$V,Round_Results!$B:$B,$A6)</f>
        <v/>
      </c>
      <c r="L6" s="3">
        <f>SUMIFS(Round_Results!$W:$W,Round_Results!$B:$B,$A6)</f>
        <v/>
      </c>
      <c r="M6" s="3">
        <f>SUMIFS(Round_Results!$X:$X,Round_Results!$B:$B,$A6)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18" customWidth="1" min="5" max="5"/>
    <col width="24" customWidth="1" min="6" max="6"/>
  </cols>
  <sheetData>
    <row r="1">
      <c r="A1" s="2" t="inlineStr">
        <is>
          <t>round</t>
        </is>
      </c>
      <c r="B1" s="2" t="inlineStr">
        <is>
          <t>RRP_KMEANS</t>
        </is>
      </c>
      <c r="C1" s="2" t="inlineStr">
        <is>
          <t>RRP_KMEANS_VNS</t>
        </is>
      </c>
      <c r="D1" s="2" t="inlineStr">
        <is>
          <t>RRP_MS_KMEANS_VNS</t>
        </is>
      </c>
      <c r="E1" s="2" t="inlineStr">
        <is>
          <t>RRP_GA</t>
        </is>
      </c>
      <c r="F1" s="2" t="inlineStr">
        <is>
          <t>RRP_SA</t>
        </is>
      </c>
    </row>
    <row r="2">
      <c r="A2" t="n">
        <v>1</v>
      </c>
      <c r="B2" s="3">
        <f>SUMIFS(Round_Results!$F:$F,Round_Results!$B:$B,B$1,Round_Results!$A:$A,"&lt;="&amp;$A2)</f>
        <v/>
      </c>
      <c r="C2" s="3">
        <f>SUMIFS(Round_Results!$F:$F,Round_Results!$B:$B,C$1,Round_Results!$A:$A,"&lt;="&amp;$A2)</f>
        <v/>
      </c>
      <c r="D2" s="3">
        <f>SUMIFS(Round_Results!$F:$F,Round_Results!$B:$B,D$1,Round_Results!$A:$A,"&lt;="&amp;$A2)</f>
        <v/>
      </c>
      <c r="E2" s="3">
        <f>SUMIFS(Round_Results!$F:$F,Round_Results!$B:$B,E$1,Round_Results!$A:$A,"&lt;="&amp;$A2)</f>
        <v/>
      </c>
      <c r="F2" s="3">
        <f>SUMIFS(Round_Results!$F:$F,Round_Results!$B:$B,F$1,Round_Results!$A:$A,"&lt;="&amp;$A2)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2" t="inlineStr">
        <is>
          <t>method</t>
        </is>
      </c>
      <c r="B1" s="2" t="inlineStr">
        <is>
          <t>P1_cells_total</t>
        </is>
      </c>
      <c r="C1" s="2" t="inlineStr">
        <is>
          <t>P2_cells_total</t>
        </is>
      </c>
      <c r="D1" s="2" t="inlineStr">
        <is>
          <t>P3_cells_total</t>
        </is>
      </c>
      <c r="E1" s="2" t="inlineStr">
        <is>
          <t>P0_cells_total</t>
        </is>
      </c>
    </row>
    <row r="2">
      <c r="A2" t="inlineStr">
        <is>
          <t>RRP_KMEANS</t>
        </is>
      </c>
      <c r="B2" s="3">
        <f>SUMIFS(Round_Results!$U:$U,Round_Results!$B:$B,$A2)</f>
        <v/>
      </c>
      <c r="C2" s="3">
        <f>SUMIFS(Round_Results!$V:$V,Round_Results!$B:$B,$A2)</f>
        <v/>
      </c>
      <c r="D2" s="3">
        <f>SUMIFS(Round_Results!$W:$W,Round_Results!$B:$B,$A2)</f>
        <v/>
      </c>
      <c r="E2" s="3">
        <f>SUMIFS(Round_Results!$X:$X,Round_Results!$B:$B,$A2)</f>
        <v/>
      </c>
    </row>
    <row r="3">
      <c r="A3" t="inlineStr">
        <is>
          <t>RRP_KMEANS_VNS</t>
        </is>
      </c>
      <c r="B3" s="3">
        <f>SUMIFS(Round_Results!$U:$U,Round_Results!$B:$B,$A3)</f>
        <v/>
      </c>
      <c r="C3" s="3">
        <f>SUMIFS(Round_Results!$V:$V,Round_Results!$B:$B,$A3)</f>
        <v/>
      </c>
      <c r="D3" s="3">
        <f>SUMIFS(Round_Results!$W:$W,Round_Results!$B:$B,$A3)</f>
        <v/>
      </c>
      <c r="E3" s="3">
        <f>SUMIFS(Round_Results!$X:$X,Round_Results!$B:$B,$A3)</f>
        <v/>
      </c>
    </row>
    <row r="4">
      <c r="A4" t="inlineStr">
        <is>
          <t>RRP_MS_KMEANS_VNS</t>
        </is>
      </c>
      <c r="B4" s="3">
        <f>SUMIFS(Round_Results!$U:$U,Round_Results!$B:$B,$A4)</f>
        <v/>
      </c>
      <c r="C4" s="3">
        <f>SUMIFS(Round_Results!$V:$V,Round_Results!$B:$B,$A4)</f>
        <v/>
      </c>
      <c r="D4" s="3">
        <f>SUMIFS(Round_Results!$W:$W,Round_Results!$B:$B,$A4)</f>
        <v/>
      </c>
      <c r="E4" s="3">
        <f>SUMIFS(Round_Results!$X:$X,Round_Results!$B:$B,$A4)</f>
        <v/>
      </c>
    </row>
    <row r="5">
      <c r="A5" t="inlineStr">
        <is>
          <t>RRP_GA</t>
        </is>
      </c>
      <c r="B5" s="3">
        <f>SUMIFS(Round_Results!$U:$U,Round_Results!$B:$B,$A5)</f>
        <v/>
      </c>
      <c r="C5" s="3">
        <f>SUMIFS(Round_Results!$V:$V,Round_Results!$B:$B,$A5)</f>
        <v/>
      </c>
      <c r="D5" s="3">
        <f>SUMIFS(Round_Results!$W:$W,Round_Results!$B:$B,$A5)</f>
        <v/>
      </c>
      <c r="E5" s="3">
        <f>SUMIFS(Round_Results!$X:$X,Round_Results!$B:$B,$A5)</f>
        <v/>
      </c>
    </row>
    <row r="6">
      <c r="A6" t="inlineStr">
        <is>
          <t>RRP_SA</t>
        </is>
      </c>
      <c r="B6" s="3">
        <f>SUMIFS(Round_Results!$U:$U,Round_Results!$B:$B,$A6)</f>
        <v/>
      </c>
      <c r="C6" s="3">
        <f>SUMIFS(Round_Results!$V:$V,Round_Results!$B:$B,$A6)</f>
        <v/>
      </c>
      <c r="D6" s="3">
        <f>SUMIFS(Round_Results!$W:$W,Round_Results!$B:$B,$A6)</f>
        <v/>
      </c>
      <c r="E6" s="3">
        <f>SUMIFS(Round_Results!$X:$X,Round_Results!$B:$B,$A6)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18" customWidth="1" min="5" max="5"/>
    <col width="24" customWidth="1" min="6" max="6"/>
  </cols>
  <sheetData>
    <row r="1">
      <c r="A1" s="2" t="inlineStr">
        <is>
          <t>round</t>
        </is>
      </c>
      <c r="B1" s="2" t="inlineStr">
        <is>
          <t>RRP_KMEANS</t>
        </is>
      </c>
      <c r="C1" s="2" t="inlineStr">
        <is>
          <t>RRP_KMEANS_VNS</t>
        </is>
      </c>
      <c r="D1" s="2" t="inlineStr">
        <is>
          <t>RRP_MS_KMEANS_VNS</t>
        </is>
      </c>
      <c r="E1" s="2" t="inlineStr">
        <is>
          <t>RRP_GA</t>
        </is>
      </c>
      <c r="F1" s="2" t="inlineStr">
        <is>
          <t>RRP_SA</t>
        </is>
      </c>
    </row>
    <row r="2">
      <c r="A2" t="n">
        <v>1</v>
      </c>
      <c r="B2" s="3">
        <f>SUMIFS(Round_Results!$H:$H,Round_Results!$B:$B,B$1,Round_Results!$A:$A,$A2)</f>
        <v/>
      </c>
      <c r="C2" s="3">
        <f>SUMIFS(Round_Results!$H:$H,Round_Results!$B:$B,C$1,Round_Results!$A:$A,$A2)</f>
        <v/>
      </c>
      <c r="D2" s="3">
        <f>SUMIFS(Round_Results!$H:$H,Round_Results!$B:$B,D$1,Round_Results!$A:$A,$A2)</f>
        <v/>
      </c>
      <c r="E2" s="3">
        <f>SUMIFS(Round_Results!$H:$H,Round_Results!$B:$B,E$1,Round_Results!$A:$A,$A2)</f>
        <v/>
      </c>
      <c r="F2" s="3">
        <f>SUMIFS(Round_Results!$H:$H,Round_Results!$B:$B,F$1,Round_Results!$A:$A,$A2)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2026-05-20T09:57:22Z</dcterms:created>
  <dcterms:modified xsi:type="dcterms:W3CDTF">2026-05-20T09:57:22Z</dcterms:modified>
</cp:coreProperties>
</file>