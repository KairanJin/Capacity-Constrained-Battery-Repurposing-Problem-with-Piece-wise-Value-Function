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und_Results" sheetId="2" state="visible" r:id="rId2"/>
    <sheet name="Method_Summary" sheetId="3" state="visible" r:id="rId3"/>
    <sheet name="ChartData_CumReward" sheetId="4" state="visible" r:id="rId4"/>
    <sheet name="ChartData_TierCells" sheetId="5" state="visible" r:id="rId5"/>
    <sheet name="ChartData_Runtime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'ChartData_CumReward'!$A$2:$A$3</f>
            </numRef>
          </cat>
          <val>
            <numRef>
              <f>'ChartData_CumReward'!$B$2:$B$3</f>
            </numRef>
          </val>
        </ser>
        <ser>
          <idx val="1"/>
          <order val="1"/>
          <tx>
            <strRef>
              <f>'ChartData_CumReward'!C1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'ChartData_CumReward'!$A$2:$A$3</f>
            </numRef>
          </cat>
          <val>
            <numRef>
              <f>'ChartData_CumReward'!$C$2:$C$3</f>
            </numRef>
          </val>
        </ser>
        <ser>
          <idx val="2"/>
          <order val="2"/>
          <tx>
            <strRef>
              <f>'ChartData_CumReward'!D1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'ChartData_CumReward'!$A$2:$A$3</f>
            </numRef>
          </cat>
          <val>
            <numRef>
              <f>'ChartData_CumReward'!$D$2:$D$3</f>
            </numRef>
          </val>
        </ser>
        <ser>
          <idx val="3"/>
          <order val="3"/>
          <tx>
            <strRef>
              <f>'ChartData_CumReward'!E1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'ChartData_CumReward'!$A$2:$A$3</f>
            </numRef>
          </cat>
          <val>
            <numRef>
              <f>'ChartData_CumReward'!$E$2:$E$3</f>
            </numRef>
          </val>
        </ser>
        <ser>
          <idx val="4"/>
          <order val="4"/>
          <tx>
            <strRef>
              <f>'ChartData_CumReward'!F1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'ChartData_CumReward'!$A$2:$A$3</f>
            </numRef>
          </cat>
          <val>
            <numRef>
              <f>'ChartData_CumReward'!$F$2:$F$3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'ChartData_TierCells'!$B$2:$B$6</f>
            </numRef>
          </val>
        </ser>
        <ser>
          <idx val="1"/>
          <order val="1"/>
          <tx>
            <strRef>
              <f>'ChartData_TierCells'!C1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'ChartData_TierCells'!$C$2:$C$6</f>
            </numRef>
          </val>
        </ser>
        <ser>
          <idx val="2"/>
          <order val="2"/>
          <tx>
            <strRef>
              <f>'ChartData_TierCells'!D1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'ChartData_TierCells'!$D$2:$D$6</f>
            </numRef>
          </val>
        </ser>
        <ser>
          <idx val="3"/>
          <order val="3"/>
          <tx>
            <strRef>
              <f>'ChartData_TierCells'!E1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'ChartData_Runtime'!$A$2:$A$3</f>
            </numRef>
          </cat>
          <val>
            <numRef>
              <f>'ChartData_Runtime'!$B$2:$B$3</f>
            </numRef>
          </val>
        </ser>
        <ser>
          <idx val="1"/>
          <order val="1"/>
          <tx>
            <strRef>
              <f>'ChartData_Runtime'!C1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'ChartData_Runtime'!$A$2:$A$3</f>
            </numRef>
          </cat>
          <val>
            <numRef>
              <f>'ChartData_Runtime'!$C$2:$C$3</f>
            </numRef>
          </val>
        </ser>
        <ser>
          <idx val="2"/>
          <order val="2"/>
          <tx>
            <strRef>
              <f>'ChartData_Runtime'!D1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'ChartData_Runtime'!$A$2:$A$3</f>
            </numRef>
          </cat>
          <val>
            <numRef>
              <f>'ChartData_Runtime'!$D$2:$D$3</f>
            </numRef>
          </val>
        </ser>
        <ser>
          <idx val="3"/>
          <order val="3"/>
          <tx>
            <strRef>
              <f>'ChartData_Runtime'!E1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'ChartData_Runtime'!$A$2:$A$3</f>
            </numRef>
          </cat>
          <val>
            <numRef>
              <f>'ChartData_Runtime'!$E$2:$E$3</f>
            </numRef>
          </val>
        </ser>
        <ser>
          <idx val="4"/>
          <order val="4"/>
          <tx>
            <strRef>
              <f>'ChartData_Runtime'!F1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'ChartData_Runtime'!$A$2:$A$3</f>
            </numRef>
          </cat>
          <val>
            <numRef>
              <f>'ChartData_Runtime'!$F$2:$F$3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RRP_KMEANS_VNS</t>
        </is>
      </c>
      <c r="B11" t="inlineStr">
        <is>
          <t>KMeans_VNS</t>
        </is>
      </c>
    </row>
    <row r="12">
      <c r="A12" t="inlineStr">
        <is>
          <t>RRP_MS_KMEANS_VNS</t>
        </is>
      </c>
      <c r="B12" t="inlineStr">
        <is>
          <t>MS_KMeans_VNS</t>
        </is>
      </c>
    </row>
    <row r="13">
      <c r="A13" t="inlineStr">
        <is>
          <t>RRP_GA</t>
        </is>
      </c>
      <c r="B13" t="inlineStr">
        <is>
          <t>GA</t>
        </is>
      </c>
    </row>
    <row r="14">
      <c r="A14" t="inlineStr">
        <is>
          <t>RRP_SA</t>
        </is>
      </c>
      <c r="B14" t="inlineStr">
        <is>
          <t>SA</t>
        </is>
      </c>
    </row>
    <row r="15">
      <c r="A15" t="inlineStr">
        <is>
          <t>RRP_GUROBI_MIP</t>
        </is>
      </c>
      <c r="B15" t="inlineStr">
        <is>
          <t>Gurobi_MIP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  <col width="12" customWidth="1" min="27" max="27"/>
    <col width="18" customWidth="1" min="28" max="28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  <c r="AA1" s="2" t="inlineStr">
        <is>
          <t>gurobi_gap</t>
        </is>
      </c>
      <c r="AB1" s="2" t="inlineStr">
        <is>
          <t>n_feasible_groups</t>
        </is>
      </c>
    </row>
    <row r="2">
      <c r="A2" t="n">
        <v>1</v>
      </c>
      <c r="B2" t="inlineStr">
        <is>
          <t>RRP_KMEANS_VNS</t>
        </is>
      </c>
      <c r="C2" t="inlineStr">
        <is>
          <t>KMeans_VNS</t>
        </is>
      </c>
      <c r="D2" t="n">
        <v>50</v>
      </c>
      <c r="E2" t="n">
        <v>50</v>
      </c>
      <c r="F2" s="3" t="n">
        <v>9.995305391476014</v>
      </c>
      <c r="G2" s="3" t="n">
        <v>9.995305391476014</v>
      </c>
      <c r="H2" s="3" t="n">
        <v>0.03656099999989237</v>
      </c>
      <c r="I2" t="n">
        <v>1</v>
      </c>
      <c r="J2" t="n">
        <v>8</v>
      </c>
      <c r="K2" t="n">
        <v>42</v>
      </c>
      <c r="L2" s="4" t="n">
        <v>0.16</v>
      </c>
      <c r="M2" s="3" t="n">
        <v>0.09389217047970258</v>
      </c>
      <c r="N2" s="3" t="n">
        <v>0.516578693869436</v>
      </c>
      <c r="O2" s="3" t="n">
        <v>9.995305391476014</v>
      </c>
      <c r="P2" s="4" t="n">
        <v>1</v>
      </c>
      <c r="Q2" t="n">
        <v>1</v>
      </c>
      <c r="R2" t="n">
        <v>0</v>
      </c>
      <c r="S2" t="n">
        <v>0</v>
      </c>
      <c r="T2" t="n">
        <v>0</v>
      </c>
      <c r="U2" t="n">
        <v>8</v>
      </c>
      <c r="V2" t="n">
        <v>0</v>
      </c>
      <c r="W2" t="n">
        <v>0</v>
      </c>
      <c r="X2" t="n">
        <v>0</v>
      </c>
      <c r="Y2" t="inlineStr">
        <is>
          <t>P1:1, P2:0, P3:0, P0:0</t>
        </is>
      </c>
      <c r="Z2" t="n">
        <v/>
      </c>
      <c r="AA2" t="n">
        <v/>
      </c>
      <c r="AB2" t="n">
        <v/>
      </c>
    </row>
    <row r="3">
      <c r="A3" t="n">
        <v>1</v>
      </c>
      <c r="B3" t="inlineStr">
        <is>
          <t>RRP_MS_KMEANS_VNS</t>
        </is>
      </c>
      <c r="C3" t="inlineStr">
        <is>
          <t>MS_KMeans_VNS</t>
        </is>
      </c>
      <c r="D3" t="n">
        <v>50</v>
      </c>
      <c r="E3" t="n">
        <v>50</v>
      </c>
      <c r="F3" s="3" t="n">
        <v>9.995305391476014</v>
      </c>
      <c r="G3" s="3" t="n">
        <v>9.995305391476014</v>
      </c>
      <c r="H3" s="3" t="n">
        <v>0.2123664999999164</v>
      </c>
      <c r="I3" t="n">
        <v>1</v>
      </c>
      <c r="J3" t="n">
        <v>8</v>
      </c>
      <c r="K3" t="n">
        <v>42</v>
      </c>
      <c r="L3" s="4" t="n">
        <v>0.16</v>
      </c>
      <c r="M3" s="3" t="n">
        <v>0.09389217047970258</v>
      </c>
      <c r="N3" s="3" t="n">
        <v>0.516578693869436</v>
      </c>
      <c r="O3" s="3" t="n">
        <v>9.995305391476014</v>
      </c>
      <c r="P3" s="4" t="n">
        <v>1</v>
      </c>
      <c r="Q3" t="n">
        <v>1</v>
      </c>
      <c r="R3" t="n">
        <v>0</v>
      </c>
      <c r="S3" t="n">
        <v>0</v>
      </c>
      <c r="T3" t="n">
        <v>0</v>
      </c>
      <c r="U3" t="n">
        <v>8</v>
      </c>
      <c r="V3" t="n">
        <v>0</v>
      </c>
      <c r="W3" t="n">
        <v>0</v>
      </c>
      <c r="X3" t="n">
        <v>0</v>
      </c>
      <c r="Y3" t="inlineStr">
        <is>
          <t>P1:1, P2:0, P3:0, P0:0</t>
        </is>
      </c>
      <c r="Z3" t="n">
        <v/>
      </c>
      <c r="AA3" t="n">
        <v/>
      </c>
      <c r="AB3" t="n">
        <v/>
      </c>
    </row>
    <row r="4">
      <c r="A4" t="n">
        <v>1</v>
      </c>
      <c r="B4" t="inlineStr">
        <is>
          <t>RRP_GA</t>
        </is>
      </c>
      <c r="C4" t="inlineStr">
        <is>
          <t>GA</t>
        </is>
      </c>
      <c r="D4" t="n">
        <v>50</v>
      </c>
      <c r="E4" t="n">
        <v>50</v>
      </c>
      <c r="F4" s="3" t="n">
        <v>9.995305391476014</v>
      </c>
      <c r="G4" s="3" t="n">
        <v>9.995305391476014</v>
      </c>
      <c r="H4" s="3" t="n">
        <v>0.1118565999995553</v>
      </c>
      <c r="I4" t="n">
        <v>1</v>
      </c>
      <c r="J4" t="n">
        <v>8</v>
      </c>
      <c r="K4" t="n">
        <v>42</v>
      </c>
      <c r="L4" s="4" t="n">
        <v>0.16</v>
      </c>
      <c r="M4" s="3" t="n">
        <v>0.09389217047970258</v>
      </c>
      <c r="N4" s="3" t="n">
        <v>0.516578693869436</v>
      </c>
      <c r="O4" s="3" t="n">
        <v>9.995305391476014</v>
      </c>
      <c r="P4" s="4" t="n">
        <v>1</v>
      </c>
      <c r="Q4" t="n">
        <v>1</v>
      </c>
      <c r="R4" t="n">
        <v>0</v>
      </c>
      <c r="S4" t="n">
        <v>0</v>
      </c>
      <c r="T4" t="n">
        <v>0</v>
      </c>
      <c r="U4" t="n">
        <v>8</v>
      </c>
      <c r="V4" t="n">
        <v>0</v>
      </c>
      <c r="W4" t="n">
        <v>0</v>
      </c>
      <c r="X4" t="n">
        <v>0</v>
      </c>
      <c r="Y4" t="inlineStr">
        <is>
          <t>P1:1, P2:0, P3:0, P0:0</t>
        </is>
      </c>
      <c r="Z4" t="n">
        <v/>
      </c>
      <c r="AA4" t="n">
        <v/>
      </c>
      <c r="AB4" t="n">
        <v/>
      </c>
    </row>
    <row r="5">
      <c r="A5" t="n">
        <v>1</v>
      </c>
      <c r="B5" t="inlineStr">
        <is>
          <t>RRP_SA</t>
        </is>
      </c>
      <c r="C5" t="inlineStr">
        <is>
          <t>SA</t>
        </is>
      </c>
      <c r="D5" t="n">
        <v>50</v>
      </c>
      <c r="E5" t="n">
        <v>50</v>
      </c>
      <c r="F5" s="3" t="n">
        <v>15.98713748092329</v>
      </c>
      <c r="G5" s="3" t="n">
        <v>15.98713748092329</v>
      </c>
      <c r="H5" s="3" t="n">
        <v>1.008385000000089</v>
      </c>
      <c r="I5" t="n">
        <v>2</v>
      </c>
      <c r="J5" t="n">
        <v>16</v>
      </c>
      <c r="K5" t="n">
        <v>34</v>
      </c>
      <c r="L5" s="4" t="n">
        <v>0.32</v>
      </c>
      <c r="M5" s="3" t="n">
        <v>0.1286251907670581</v>
      </c>
      <c r="N5" s="3" t="n">
        <v>0.2615602385921688</v>
      </c>
      <c r="O5" s="3" t="n">
        <v>7.993568740461647</v>
      </c>
      <c r="P5" s="4" t="n">
        <v>1</v>
      </c>
      <c r="Q5" t="n">
        <v>1</v>
      </c>
      <c r="R5" t="n">
        <v>1</v>
      </c>
      <c r="S5" t="n">
        <v>0</v>
      </c>
      <c r="T5" t="n">
        <v>0</v>
      </c>
      <c r="U5" t="n">
        <v>8</v>
      </c>
      <c r="V5" t="n">
        <v>8</v>
      </c>
      <c r="W5" t="n">
        <v>0</v>
      </c>
      <c r="X5" t="n">
        <v>0</v>
      </c>
      <c r="Y5" t="inlineStr">
        <is>
          <t>P1:1, P2:1, P3:0, P0:0</t>
        </is>
      </c>
      <c r="Z5" t="n">
        <v/>
      </c>
      <c r="AA5" t="n">
        <v/>
      </c>
      <c r="AB5" t="n">
        <v/>
      </c>
    </row>
    <row r="6">
      <c r="A6" t="n">
        <v>1</v>
      </c>
      <c r="B6" t="inlineStr">
        <is>
          <t>RRP_GUROBI_MIP</t>
        </is>
      </c>
      <c r="C6" t="inlineStr">
        <is>
          <t>Gurobi_MIP</t>
        </is>
      </c>
      <c r="D6" t="n">
        <v>50</v>
      </c>
      <c r="E6" t="n">
        <v>50</v>
      </c>
      <c r="F6" s="3" t="n">
        <v>45.85318350144355</v>
      </c>
      <c r="G6" s="3" t="n">
        <v>45.85318350144355</v>
      </c>
      <c r="H6" s="3" t="n">
        <v>300.0112213999992</v>
      </c>
      <c r="I6" t="n">
        <v>6</v>
      </c>
      <c r="J6" t="n">
        <v>48</v>
      </c>
      <c r="K6" t="n">
        <v>2</v>
      </c>
      <c r="L6" s="4" t="n">
        <v>0.96</v>
      </c>
      <c r="M6" s="3" t="n">
        <v>0.4893883285214919</v>
      </c>
      <c r="N6" s="3" t="n">
        <v>0.1733253619033015</v>
      </c>
      <c r="O6" s="3" t="n">
        <v>7.642197250240592</v>
      </c>
      <c r="P6" s="4" t="n">
        <v>1</v>
      </c>
      <c r="Q6" t="n">
        <v>4</v>
      </c>
      <c r="R6" t="n">
        <v>0</v>
      </c>
      <c r="S6" t="n">
        <v>2</v>
      </c>
      <c r="T6" t="n">
        <v>0</v>
      </c>
      <c r="U6" t="n">
        <v>32</v>
      </c>
      <c r="V6" t="n">
        <v>0</v>
      </c>
      <c r="W6" t="n">
        <v>16</v>
      </c>
      <c r="X6" t="n">
        <v>0</v>
      </c>
      <c r="Y6" t="inlineStr">
        <is>
          <t>P1:4, P2:0, P3:2, P0:0</t>
        </is>
      </c>
      <c r="Z6" t="n">
        <v/>
      </c>
      <c r="AA6" t="n">
        <v>0.009686201913909289</v>
      </c>
      <c r="AB6" t="n">
        <v/>
      </c>
    </row>
    <row r="7">
      <c r="A7" t="n">
        <v>2</v>
      </c>
      <c r="B7" t="inlineStr">
        <is>
          <t>RRP_KMEANS_VNS</t>
        </is>
      </c>
      <c r="C7" t="inlineStr">
        <is>
          <t>KMeans_VNS</t>
        </is>
      </c>
      <c r="D7" t="n">
        <v>50</v>
      </c>
      <c r="E7" t="n">
        <v>92</v>
      </c>
      <c r="F7" s="3" t="n">
        <v>29.9649178919638</v>
      </c>
      <c r="G7" s="3" t="n">
        <v>39.96022328343982</v>
      </c>
      <c r="H7" s="3" t="n">
        <v>0.4084736000004341</v>
      </c>
      <c r="I7" t="n">
        <v>6</v>
      </c>
      <c r="J7" t="n">
        <v>48</v>
      </c>
      <c r="K7" t="n">
        <v>44</v>
      </c>
      <c r="L7" s="4" t="n">
        <v>0.5217391304347826</v>
      </c>
      <c r="M7" s="3" t="n">
        <v>0.116940360120651</v>
      </c>
      <c r="N7" s="3" t="n">
        <v>0.03696028098914875</v>
      </c>
      <c r="O7" s="3" t="n">
        <v>4.994152981993968</v>
      </c>
      <c r="P7" s="4" t="n">
        <v>1</v>
      </c>
      <c r="Q7" t="n">
        <v>0</v>
      </c>
      <c r="R7" t="n">
        <v>4</v>
      </c>
      <c r="S7" t="n">
        <v>2</v>
      </c>
      <c r="T7" t="n">
        <v>0</v>
      </c>
      <c r="U7" t="n">
        <v>0</v>
      </c>
      <c r="V7" t="n">
        <v>32</v>
      </c>
      <c r="W7" t="n">
        <v>16</v>
      </c>
      <c r="X7" t="n">
        <v>0</v>
      </c>
      <c r="Y7" t="inlineStr">
        <is>
          <t>P1:0, P2:4, P3:2, P0:0</t>
        </is>
      </c>
      <c r="Z7" t="n">
        <v/>
      </c>
      <c r="AA7" t="n">
        <v/>
      </c>
      <c r="AB7" t="n">
        <v/>
      </c>
    </row>
    <row r="8">
      <c r="A8" t="n">
        <v>2</v>
      </c>
      <c r="B8" t="inlineStr">
        <is>
          <t>RRP_MS_KMEANS_VNS</t>
        </is>
      </c>
      <c r="C8" t="inlineStr">
        <is>
          <t>MS_KMeans_VNS</t>
        </is>
      </c>
      <c r="D8" t="n">
        <v>50</v>
      </c>
      <c r="E8" t="n">
        <v>92</v>
      </c>
      <c r="F8" s="3" t="n">
        <v>36.96410586681647</v>
      </c>
      <c r="G8" s="3" t="n">
        <v>46.95941125829249</v>
      </c>
      <c r="H8" s="3" t="n">
        <v>1.532675499999641</v>
      </c>
      <c r="I8" t="n">
        <v>6</v>
      </c>
      <c r="J8" t="n">
        <v>48</v>
      </c>
      <c r="K8" t="n">
        <v>44</v>
      </c>
      <c r="L8" s="4" t="n">
        <v>0.5217391304347826</v>
      </c>
      <c r="M8" s="3" t="n">
        <v>0.1196471106117564</v>
      </c>
      <c r="N8" s="3" t="n">
        <v>0.0591355339320477</v>
      </c>
      <c r="O8" s="3" t="n">
        <v>6.160684311136079</v>
      </c>
      <c r="P8" s="4" t="n">
        <v>1</v>
      </c>
      <c r="Q8" t="n">
        <v>1</v>
      </c>
      <c r="R8" t="n">
        <v>4</v>
      </c>
      <c r="S8" t="n">
        <v>1</v>
      </c>
      <c r="T8" t="n">
        <v>0</v>
      </c>
      <c r="U8" t="n">
        <v>8</v>
      </c>
      <c r="V8" t="n">
        <v>32</v>
      </c>
      <c r="W8" t="n">
        <v>8</v>
      </c>
      <c r="X8" t="n">
        <v>0</v>
      </c>
      <c r="Y8" t="inlineStr">
        <is>
          <t>P1:1, P2:4, P3:1, P0:0</t>
        </is>
      </c>
      <c r="Z8" t="n">
        <v/>
      </c>
      <c r="AA8" t="n">
        <v/>
      </c>
      <c r="AB8" t="n">
        <v/>
      </c>
    </row>
    <row r="9">
      <c r="A9" t="n">
        <v>2</v>
      </c>
      <c r="B9" t="inlineStr">
        <is>
          <t>RRP_GA</t>
        </is>
      </c>
      <c r="C9" t="inlineStr">
        <is>
          <t>GA</t>
        </is>
      </c>
      <c r="D9" t="n">
        <v>50</v>
      </c>
      <c r="E9" t="n">
        <v>92</v>
      </c>
      <c r="F9" s="3" t="n">
        <v>36.96774926565902</v>
      </c>
      <c r="G9" s="3" t="n">
        <v>46.96305465713504</v>
      </c>
      <c r="H9" s="3" t="n">
        <v>1.020310199999585</v>
      </c>
      <c r="I9" t="n">
        <v>6</v>
      </c>
      <c r="J9" t="n">
        <v>48</v>
      </c>
      <c r="K9" t="n">
        <v>44</v>
      </c>
      <c r="L9" s="4" t="n">
        <v>0.5217391304347826</v>
      </c>
      <c r="M9" s="3" t="n">
        <v>0.1075024478032622</v>
      </c>
      <c r="N9" s="3" t="n">
        <v>0.05149375360129114</v>
      </c>
      <c r="O9" s="3" t="n">
        <v>6.161291544276504</v>
      </c>
      <c r="P9" s="4" t="n">
        <v>1</v>
      </c>
      <c r="Q9" t="n">
        <v>1</v>
      </c>
      <c r="R9" t="n">
        <v>4</v>
      </c>
      <c r="S9" t="n">
        <v>1</v>
      </c>
      <c r="T9" t="n">
        <v>0</v>
      </c>
      <c r="U9" t="n">
        <v>8</v>
      </c>
      <c r="V9" t="n">
        <v>32</v>
      </c>
      <c r="W9" t="n">
        <v>8</v>
      </c>
      <c r="X9" t="n">
        <v>0</v>
      </c>
      <c r="Y9" t="inlineStr">
        <is>
          <t>P1:1, P2:4, P3:1, P0:0</t>
        </is>
      </c>
      <c r="Z9" t="n">
        <v/>
      </c>
      <c r="AA9" t="n">
        <v/>
      </c>
      <c r="AB9" t="n">
        <v/>
      </c>
    </row>
    <row r="10">
      <c r="A10" t="n">
        <v>2</v>
      </c>
      <c r="B10" t="inlineStr">
        <is>
          <t>RRP_SA</t>
        </is>
      </c>
      <c r="C10" t="inlineStr">
        <is>
          <t>SA</t>
        </is>
      </c>
      <c r="D10" t="n">
        <v>50</v>
      </c>
      <c r="E10" t="n">
        <v>84</v>
      </c>
      <c r="F10" s="3" t="n">
        <v>24.97518396429433</v>
      </c>
      <c r="G10" s="3" t="n">
        <v>40.96232144521763</v>
      </c>
      <c r="H10" s="3" t="n">
        <v>1.160454699999718</v>
      </c>
      <c r="I10" t="n">
        <v>4</v>
      </c>
      <c r="J10" t="n">
        <v>32</v>
      </c>
      <c r="K10" t="n">
        <v>52</v>
      </c>
      <c r="L10" s="4" t="n">
        <v>0.3809523809523809</v>
      </c>
      <c r="M10" s="3" t="n">
        <v>0.1240801785283723</v>
      </c>
      <c r="N10" s="3" t="n">
        <v>0.06423420345600159</v>
      </c>
      <c r="O10" s="3" t="n">
        <v>6.243795991073582</v>
      </c>
      <c r="P10" s="4" t="n">
        <v>1</v>
      </c>
      <c r="Q10" t="n">
        <v>1</v>
      </c>
      <c r="R10" t="n">
        <v>2</v>
      </c>
      <c r="S10" t="n">
        <v>1</v>
      </c>
      <c r="T10" t="n">
        <v>0</v>
      </c>
      <c r="U10" t="n">
        <v>8</v>
      </c>
      <c r="V10" t="n">
        <v>16</v>
      </c>
      <c r="W10" t="n">
        <v>8</v>
      </c>
      <c r="X10" t="n">
        <v>0</v>
      </c>
      <c r="Y10" t="inlineStr">
        <is>
          <t>P1:1, P2:2, P3:1, P0:0</t>
        </is>
      </c>
      <c r="Z10" t="n">
        <v/>
      </c>
      <c r="AA10" t="n">
        <v/>
      </c>
      <c r="AB10" t="n">
        <v/>
      </c>
    </row>
    <row r="11">
      <c r="A11" t="n">
        <v>2</v>
      </c>
      <c r="B11" t="inlineStr">
        <is>
          <t>RRP_GUROBI_MIP</t>
        </is>
      </c>
      <c r="C11" t="inlineStr">
        <is>
          <t>Gurobi_MIP</t>
        </is>
      </c>
      <c r="D11" t="n">
        <v>50</v>
      </c>
      <c r="E11" t="n">
        <v>52</v>
      </c>
      <c r="F11" s="3" t="n">
        <v>31.87406709231972</v>
      </c>
      <c r="G11" s="3" t="n">
        <v>77.72725059376327</v>
      </c>
      <c r="H11" s="3" t="n">
        <v>300.0106976999996</v>
      </c>
      <c r="I11" t="n">
        <v>6</v>
      </c>
      <c r="J11" t="n">
        <v>48</v>
      </c>
      <c r="K11" t="n">
        <v>4</v>
      </c>
      <c r="L11" s="4" t="n">
        <v>0.9230769230769231</v>
      </c>
      <c r="M11" s="3" t="n">
        <v>0.4197763589342805</v>
      </c>
      <c r="N11" s="3" t="n">
        <v>-0.1610110824652744</v>
      </c>
      <c r="O11" s="3" t="n">
        <v>5.312344515386619</v>
      </c>
      <c r="P11" s="4" t="n">
        <v>0.8333333333333334</v>
      </c>
      <c r="Q11" t="n">
        <v>2</v>
      </c>
      <c r="R11" t="n">
        <v>1</v>
      </c>
      <c r="S11" t="n">
        <v>2</v>
      </c>
      <c r="T11" t="n">
        <v>1</v>
      </c>
      <c r="U11" t="n">
        <v>16</v>
      </c>
      <c r="V11" t="n">
        <v>8</v>
      </c>
      <c r="W11" t="n">
        <v>16</v>
      </c>
      <c r="X11" t="n">
        <v>8</v>
      </c>
      <c r="Y11" t="inlineStr">
        <is>
          <t>P1:2, P2:1, P3:2, P0:1</t>
        </is>
      </c>
      <c r="Z11" t="n">
        <v/>
      </c>
      <c r="AA11" t="n">
        <v>0.1033222746730462</v>
      </c>
      <c r="AB1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RRP_KMEANS_VNS</t>
        </is>
      </c>
      <c r="B2" t="inlineStr">
        <is>
          <t>KMeans_VNS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MAXIFS(Round_Results!$K:$K,Round_Results!$B:$B,$A2,Round_Results!$A:$A,2)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RRP_MS_KMEANS_VNS</t>
        </is>
      </c>
      <c r="B3" t="inlineStr">
        <is>
          <t>MS_KMeans_VNS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MAXIFS(Round_Results!$K:$K,Round_Results!$B:$B,$A3,Round_Results!$A:$A,2)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RRP_GA</t>
        </is>
      </c>
      <c r="B4" t="inlineStr">
        <is>
          <t>GA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MAXIFS(Round_Results!$K:$K,Round_Results!$B:$B,$A4,Round_Results!$A:$A,2)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  <row r="5">
      <c r="A5" t="inlineStr">
        <is>
          <t>RRP_SA</t>
        </is>
      </c>
      <c r="B5" t="inlineStr">
        <is>
          <t>SA</t>
        </is>
      </c>
      <c r="C5" s="3">
        <f>SUMIFS(Round_Results!$F:$F,Round_Results!$B:$B,$A5)</f>
        <v/>
      </c>
      <c r="D5" s="3">
        <f>MAXIFS(Round_Results!$G:$G,Round_Results!$B:$B,$A5)</f>
        <v/>
      </c>
      <c r="E5" s="3">
        <f>SUMIFS(Round_Results!$H:$H,Round_Results!$B:$B,$A5)</f>
        <v/>
      </c>
      <c r="F5" s="3">
        <f>AVERAGEIFS(Round_Results!$H:$H,Round_Results!$B:$B,$A5)</f>
        <v/>
      </c>
      <c r="G5" s="3">
        <f>SUMIFS(Round_Results!$I:$I,Round_Results!$B:$B,$A5)</f>
        <v/>
      </c>
      <c r="H5" s="3">
        <f>SUMIFS(Round_Results!$J:$J,Round_Results!$B:$B,$A5)</f>
        <v/>
      </c>
      <c r="I5" s="3">
        <f>MAXIFS(Round_Results!$K:$K,Round_Results!$B:$B,$A5,Round_Results!$A:$A,2)</f>
        <v/>
      </c>
      <c r="J5" s="3">
        <f>SUMIFS(Round_Results!$U:$U,Round_Results!$B:$B,$A5)</f>
        <v/>
      </c>
      <c r="K5" s="3">
        <f>SUMIFS(Round_Results!$V:$V,Round_Results!$B:$B,$A5)</f>
        <v/>
      </c>
      <c r="L5" s="3">
        <f>SUMIFS(Round_Results!$W:$W,Round_Results!$B:$B,$A5)</f>
        <v/>
      </c>
      <c r="M5" s="3">
        <f>SUMIFS(Round_Results!$X:$X,Round_Results!$B:$B,$A5)</f>
        <v/>
      </c>
    </row>
    <row r="6">
      <c r="A6" t="inlineStr">
        <is>
          <t>RRP_GUROBI_MIP</t>
        </is>
      </c>
      <c r="B6" t="inlineStr">
        <is>
          <t>Gurobi_MIP</t>
        </is>
      </c>
      <c r="C6" s="3">
        <f>SUMIFS(Round_Results!$F:$F,Round_Results!$B:$B,$A6)</f>
        <v/>
      </c>
      <c r="D6" s="3">
        <f>MAXIFS(Round_Results!$G:$G,Round_Results!$B:$B,$A6)</f>
        <v/>
      </c>
      <c r="E6" s="3">
        <f>SUMIFS(Round_Results!$H:$H,Round_Results!$B:$B,$A6)</f>
        <v/>
      </c>
      <c r="F6" s="3">
        <f>AVERAGEIFS(Round_Results!$H:$H,Round_Results!$B:$B,$A6)</f>
        <v/>
      </c>
      <c r="G6" s="3">
        <f>SUMIFS(Round_Results!$I:$I,Round_Results!$B:$B,$A6)</f>
        <v/>
      </c>
      <c r="H6" s="3">
        <f>SUMIFS(Round_Results!$J:$J,Round_Results!$B:$B,$A6)</f>
        <v/>
      </c>
      <c r="I6" s="3">
        <f>MAXIFS(Round_Results!$K:$K,Round_Results!$B:$B,$A6,Round_Results!$A:$A,2)</f>
        <v/>
      </c>
      <c r="J6" s="3">
        <f>SUMIFS(Round_Results!$U:$U,Round_Results!$B:$B,$A6)</f>
        <v/>
      </c>
      <c r="K6" s="3">
        <f>SUMIFS(Round_Results!$V:$V,Round_Results!$B:$B,$A6)</f>
        <v/>
      </c>
      <c r="L6" s="3">
        <f>SUMIFS(Round_Results!$W:$W,Round_Results!$B:$B,$A6)</f>
        <v/>
      </c>
      <c r="M6" s="3">
        <f>SUMIFS(Round_Results!$X:$X,Round_Results!$B:$B,$A6)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RRP_KMEANS_VNS</t>
        </is>
      </c>
      <c r="C1" s="2" t="inlineStr">
        <is>
          <t>RRP_MS_KMEANS_VNS</t>
        </is>
      </c>
      <c r="D1" s="2" t="inlineStr">
        <is>
          <t>RRP_GA</t>
        </is>
      </c>
      <c r="E1" s="2" t="inlineStr">
        <is>
          <t>RRP_SA</t>
        </is>
      </c>
      <c r="F1" s="2" t="inlineStr">
        <is>
          <t>RRP_GUROBI_MIP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  <c r="E2" s="3">
        <f>SUMIFS(Round_Results!$F:$F,Round_Results!$B:$B,E$1,Round_Results!$A:$A,"&lt;="&amp;$A2)</f>
        <v/>
      </c>
      <c r="F2" s="3">
        <f>SUMIFS(Round_Results!$F:$F,Round_Results!$B:$B,F$1,Round_Results!$A:$A,"&lt;="&amp;$A2)</f>
        <v/>
      </c>
    </row>
    <row r="3">
      <c r="A3" t="n">
        <v>2</v>
      </c>
      <c r="B3" s="3">
        <f>SUMIFS(Round_Results!$F:$F,Round_Results!$B:$B,B$1,Round_Results!$A:$A,"&lt;="&amp;$A3)</f>
        <v/>
      </c>
      <c r="C3" s="3">
        <f>SUMIFS(Round_Results!$F:$F,Round_Results!$B:$B,C$1,Round_Results!$A:$A,"&lt;="&amp;$A3)</f>
        <v/>
      </c>
      <c r="D3" s="3">
        <f>SUMIFS(Round_Results!$F:$F,Round_Results!$B:$B,D$1,Round_Results!$A:$A,"&lt;="&amp;$A3)</f>
        <v/>
      </c>
      <c r="E3" s="3">
        <f>SUMIFS(Round_Results!$F:$F,Round_Results!$B:$B,E$1,Round_Results!$A:$A,"&lt;="&amp;$A3)</f>
        <v/>
      </c>
      <c r="F3" s="3">
        <f>SUMIFS(Round_Results!$F:$F,Round_Results!$B:$B,F$1,Round_Results!$A:$A,"&lt;="&amp;$A3)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RRP_KMEANS_VNS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RRP_MS_KMEANS_VNS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RRP_GA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  <row r="5">
      <c r="A5" t="inlineStr">
        <is>
          <t>RRP_SA</t>
        </is>
      </c>
      <c r="B5" s="3">
        <f>SUMIFS(Round_Results!$U:$U,Round_Results!$B:$B,$A5)</f>
        <v/>
      </c>
      <c r="C5" s="3">
        <f>SUMIFS(Round_Results!$V:$V,Round_Results!$B:$B,$A5)</f>
        <v/>
      </c>
      <c r="D5" s="3">
        <f>SUMIFS(Round_Results!$W:$W,Round_Results!$B:$B,$A5)</f>
        <v/>
      </c>
      <c r="E5" s="3">
        <f>SUMIFS(Round_Results!$X:$X,Round_Results!$B:$B,$A5)</f>
        <v/>
      </c>
    </row>
    <row r="6">
      <c r="A6" t="inlineStr">
        <is>
          <t>RRP_GUROBI_MIP</t>
        </is>
      </c>
      <c r="B6" s="3">
        <f>SUMIFS(Round_Results!$U:$U,Round_Results!$B:$B,$A6)</f>
        <v/>
      </c>
      <c r="C6" s="3">
        <f>SUMIFS(Round_Results!$V:$V,Round_Results!$B:$B,$A6)</f>
        <v/>
      </c>
      <c r="D6" s="3">
        <f>SUMIFS(Round_Results!$W:$W,Round_Results!$B:$B,$A6)</f>
        <v/>
      </c>
      <c r="E6" s="3">
        <f>SUMIFS(Round_Results!$X:$X,Round_Results!$B:$B,$A6)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RRP_KMEANS_VNS</t>
        </is>
      </c>
      <c r="C1" s="2" t="inlineStr">
        <is>
          <t>RRP_MS_KMEANS_VNS</t>
        </is>
      </c>
      <c r="D1" s="2" t="inlineStr">
        <is>
          <t>RRP_GA</t>
        </is>
      </c>
      <c r="E1" s="2" t="inlineStr">
        <is>
          <t>RRP_SA</t>
        </is>
      </c>
      <c r="F1" s="2" t="inlineStr">
        <is>
          <t>RRP_GUROBI_MIP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  <c r="E2" s="3">
        <f>SUMIFS(Round_Results!$H:$H,Round_Results!$B:$B,E$1,Round_Results!$A:$A,$A2)</f>
        <v/>
      </c>
      <c r="F2" s="3">
        <f>SUMIFS(Round_Results!$H:$H,Round_Results!$B:$B,F$1,Round_Results!$A:$A,$A2)</f>
        <v/>
      </c>
    </row>
    <row r="3">
      <c r="A3" t="n">
        <v>2</v>
      </c>
      <c r="B3" s="3">
        <f>SUMIFS(Round_Results!$H:$H,Round_Results!$B:$B,B$1,Round_Results!$A:$A,$A3)</f>
        <v/>
      </c>
      <c r="C3" s="3">
        <f>SUMIFS(Round_Results!$H:$H,Round_Results!$B:$B,C$1,Round_Results!$A:$A,$A3)</f>
        <v/>
      </c>
      <c r="D3" s="3">
        <f>SUMIFS(Round_Results!$H:$H,Round_Results!$B:$B,D$1,Round_Results!$A:$A,$A3)</f>
        <v/>
      </c>
      <c r="E3" s="3">
        <f>SUMIFS(Round_Results!$H:$H,Round_Results!$B:$B,E$1,Round_Results!$A:$A,$A3)</f>
        <v/>
      </c>
      <c r="F3" s="3">
        <f>SUMIFS(Round_Results!$H:$H,Round_Results!$B:$B,F$1,Round_Results!$A:$A,$A3)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2026-05-19T05:13:04Z</dcterms:created>
  <dcterms:modified xsi:type="dcterms:W3CDTF">2026-05-19T05:13:04Z</dcterms:modified>
</cp:coreProperties>
</file>