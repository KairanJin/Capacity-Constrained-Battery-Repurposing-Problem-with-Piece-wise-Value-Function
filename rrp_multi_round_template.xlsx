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und_Results" sheetId="2" state="visible" r:id="rId2"/>
    <sheet name="Method_Summary" sheetId="3" state="visible" r:id="rId3"/>
    <sheet name="ChartData_CumReward" sheetId="4" state="visible" r:id="rId4"/>
    <sheet name="ChartData_TierCells" sheetId="5" state="visible" r:id="rId5"/>
    <sheet name="ChartData_Runtime" sheetId="6" state="visible" r:id="rId6"/>
    <sheet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'ChartData_CumReward'!$B$2:$B$21</f>
            </numRef>
          </val>
        </ser>
        <ser>
          <idx val="1"/>
          <order val="1"/>
          <tx>
            <strRef>
              <f>'ChartData_CumReward'!C1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'ChartData_CumReward'!$C$2:$C$21</f>
            </numRef>
          </val>
        </ser>
        <ser>
          <idx val="2"/>
          <order val="2"/>
          <tx>
            <strRef>
              <f>'ChartData_CumReward'!D1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'ChartData_CumReward'!$D$2:$D$21</f>
            </numRef>
          </val>
        </ser>
        <ser>
          <idx val="3"/>
          <order val="3"/>
          <tx>
            <strRef>
              <f>'ChartData_CumReward'!E1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'ChartData_CumReward'!$E$2:$E$21</f>
            </numRef>
          </val>
        </ser>
        <ser>
          <idx val="4"/>
          <order val="4"/>
          <tx>
            <strRef>
              <f>'ChartData_CumReward'!F1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'ChartData_TierCells'!$B$2:$B$6</f>
            </numRef>
          </val>
        </ser>
        <ser>
          <idx val="1"/>
          <order val="1"/>
          <tx>
            <strRef>
              <f>'ChartData_TierCells'!C1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'ChartData_TierCells'!$C$2:$C$6</f>
            </numRef>
          </val>
        </ser>
        <ser>
          <idx val="2"/>
          <order val="2"/>
          <tx>
            <strRef>
              <f>'ChartData_TierCells'!D1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'ChartData_TierCells'!$D$2:$D$6</f>
            </numRef>
          </val>
        </ser>
        <ser>
          <idx val="3"/>
          <order val="3"/>
          <tx>
            <strRef>
              <f>'ChartData_TierCells'!E1</f>
            </strRef>
          </tx>
          <spPr>
            <a:ln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'ChartData_Runtime'!$B$2:$B$21</f>
            </numRef>
          </val>
        </ser>
        <ser>
          <idx val="1"/>
          <order val="1"/>
          <tx>
            <strRef>
              <f>'ChartData_Runtime'!C1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'ChartData_Runtime'!$C$2:$C$21</f>
            </numRef>
          </val>
        </ser>
        <ser>
          <idx val="2"/>
          <order val="2"/>
          <tx>
            <strRef>
              <f>'ChartData_Runtime'!D1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'ChartData_Runtime'!$D$2:$D$21</f>
            </numRef>
          </val>
        </ser>
        <ser>
          <idx val="3"/>
          <order val="3"/>
          <tx>
            <strRef>
              <f>'ChartData_Runtime'!E1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'ChartData_Runtime'!$E$2:$E$21</f>
            </numRef>
          </val>
        </ser>
        <ser>
          <idx val="4"/>
          <order val="4"/>
          <tx>
            <strRef>
              <f>'ChartData_Runtime'!F1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RRP_MS_KMEANS_VNS</t>
        </is>
      </c>
      <c r="B13" t="inlineStr">
        <is>
          <t>MS_KMeans_VNS</t>
        </is>
      </c>
    </row>
    <row r="14">
      <c r="A14" t="inlineStr">
        <is>
          <t>RRP_GA</t>
        </is>
      </c>
      <c r="B14" t="inlineStr">
        <is>
          <t>GA</t>
        </is>
      </c>
    </row>
    <row r="15">
      <c r="A15" t="inlineStr">
        <is>
          <t>RRP_SA</t>
        </is>
      </c>
      <c r="B15" t="inlineStr">
        <is>
          <t>SA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  <col width="12" customWidth="1" min="27" max="27"/>
    <col width="18" customWidth="1" min="28" max="28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  <c r="AA1" s="2" t="inlineStr">
        <is>
          <t>gurobi_gap</t>
        </is>
      </c>
      <c r="AB1" s="2" t="inlineStr">
        <is>
          <t>n_feasible_groups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F2" s="3" t="n"/>
      <c r="G2" s="3" t="n"/>
      <c r="H2" s="3" t="n"/>
      <c r="L2" s="4" t="n"/>
      <c r="M2" s="3" t="n"/>
      <c r="N2" s="3" t="n"/>
      <c r="O2" s="3" t="n"/>
      <c r="P2" s="4" t="n"/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F3" s="3" t="n"/>
      <c r="G3" s="3" t="n"/>
      <c r="H3" s="3" t="n"/>
      <c r="L3" s="4" t="n"/>
      <c r="M3" s="3" t="n"/>
      <c r="N3" s="3" t="n"/>
      <c r="O3" s="3" t="n"/>
      <c r="P3" s="4" t="n"/>
    </row>
    <row r="4">
      <c r="A4" t="n">
        <v>1</v>
      </c>
      <c r="B4" t="inlineStr">
        <is>
          <t>RRP_MS_KMEANS_VNS</t>
        </is>
      </c>
      <c r="C4" t="inlineStr">
        <is>
          <t>MS_KMeans_VNS</t>
        </is>
      </c>
      <c r="F4" s="3" t="n"/>
      <c r="G4" s="3" t="n"/>
      <c r="H4" s="3" t="n"/>
      <c r="L4" s="4" t="n"/>
      <c r="M4" s="3" t="n"/>
      <c r="N4" s="3" t="n"/>
      <c r="O4" s="3" t="n"/>
      <c r="P4" s="4" t="n"/>
    </row>
    <row r="5">
      <c r="A5" t="n">
        <v>1</v>
      </c>
      <c r="B5" t="inlineStr">
        <is>
          <t>RRP_GA</t>
        </is>
      </c>
      <c r="C5" t="inlineStr">
        <is>
          <t>GA</t>
        </is>
      </c>
      <c r="F5" s="3" t="n"/>
      <c r="G5" s="3" t="n"/>
      <c r="H5" s="3" t="n"/>
      <c r="L5" s="4" t="n"/>
      <c r="M5" s="3" t="n"/>
      <c r="N5" s="3" t="n"/>
      <c r="O5" s="3" t="n"/>
      <c r="P5" s="4" t="n"/>
    </row>
    <row r="6">
      <c r="A6" t="n">
        <v>1</v>
      </c>
      <c r="B6" t="inlineStr">
        <is>
          <t>RRP_SA</t>
        </is>
      </c>
      <c r="C6" t="inlineStr">
        <is>
          <t>SA</t>
        </is>
      </c>
      <c r="F6" s="3" t="n"/>
      <c r="G6" s="3" t="n"/>
      <c r="H6" s="3" t="n"/>
      <c r="L6" s="4" t="n"/>
      <c r="M6" s="3" t="n"/>
      <c r="N6" s="3" t="n"/>
      <c r="O6" s="3" t="n"/>
      <c r="P6" s="4" t="n"/>
    </row>
    <row r="7">
      <c r="A7" t="n">
        <v>2</v>
      </c>
      <c r="B7" t="inlineStr">
        <is>
          <t>RRP_KMEANS</t>
        </is>
      </c>
      <c r="C7" t="inlineStr">
        <is>
          <t>KMeans</t>
        </is>
      </c>
      <c r="F7" s="3" t="n"/>
      <c r="G7" s="3" t="n"/>
      <c r="H7" s="3" t="n"/>
      <c r="L7" s="4" t="n"/>
      <c r="M7" s="3" t="n"/>
      <c r="N7" s="3" t="n"/>
      <c r="O7" s="3" t="n"/>
      <c r="P7" s="4" t="n"/>
    </row>
    <row r="8">
      <c r="A8" t="n">
        <v>2</v>
      </c>
      <c r="B8" t="inlineStr">
        <is>
          <t>RRP_KMEANS_VNS</t>
        </is>
      </c>
      <c r="C8" t="inlineStr">
        <is>
          <t>KMeans_VNS</t>
        </is>
      </c>
      <c r="F8" s="3" t="n"/>
      <c r="G8" s="3" t="n"/>
      <c r="H8" s="3" t="n"/>
      <c r="L8" s="4" t="n"/>
      <c r="M8" s="3" t="n"/>
      <c r="N8" s="3" t="n"/>
      <c r="O8" s="3" t="n"/>
      <c r="P8" s="4" t="n"/>
    </row>
    <row r="9">
      <c r="A9" t="n">
        <v>2</v>
      </c>
      <c r="B9" t="inlineStr">
        <is>
          <t>RRP_MS_KMEANS_VNS</t>
        </is>
      </c>
      <c r="C9" t="inlineStr">
        <is>
          <t>MS_KMeans_VNS</t>
        </is>
      </c>
      <c r="F9" s="3" t="n"/>
      <c r="G9" s="3" t="n"/>
      <c r="H9" s="3" t="n"/>
      <c r="L9" s="4" t="n"/>
      <c r="M9" s="3" t="n"/>
      <c r="N9" s="3" t="n"/>
      <c r="O9" s="3" t="n"/>
      <c r="P9" s="4" t="n"/>
    </row>
    <row r="10">
      <c r="A10" t="n">
        <v>2</v>
      </c>
      <c r="B10" t="inlineStr">
        <is>
          <t>RRP_GA</t>
        </is>
      </c>
      <c r="C10" t="inlineStr">
        <is>
          <t>GA</t>
        </is>
      </c>
      <c r="F10" s="3" t="n"/>
      <c r="G10" s="3" t="n"/>
      <c r="H10" s="3" t="n"/>
      <c r="L10" s="4" t="n"/>
      <c r="M10" s="3" t="n"/>
      <c r="N10" s="3" t="n"/>
      <c r="O10" s="3" t="n"/>
      <c r="P10" s="4" t="n"/>
    </row>
    <row r="11">
      <c r="A11" t="n">
        <v>2</v>
      </c>
      <c r="B11" t="inlineStr">
        <is>
          <t>RRP_SA</t>
        </is>
      </c>
      <c r="C11" t="inlineStr">
        <is>
          <t>SA</t>
        </is>
      </c>
      <c r="F11" s="3" t="n"/>
      <c r="G11" s="3" t="n"/>
      <c r="H11" s="3" t="n"/>
      <c r="L11" s="4" t="n"/>
      <c r="M11" s="3" t="n"/>
      <c r="N11" s="3" t="n"/>
      <c r="O11" s="3" t="n"/>
      <c r="P11" s="4" t="n"/>
    </row>
    <row r="12">
      <c r="A12" t="n">
        <v>3</v>
      </c>
      <c r="B12" t="inlineStr">
        <is>
          <t>RRP_KMEANS</t>
        </is>
      </c>
      <c r="C12" t="inlineStr">
        <is>
          <t>KMeans</t>
        </is>
      </c>
      <c r="F12" s="3" t="n"/>
      <c r="G12" s="3" t="n"/>
      <c r="H12" s="3" t="n"/>
      <c r="L12" s="4" t="n"/>
      <c r="M12" s="3" t="n"/>
      <c r="N12" s="3" t="n"/>
      <c r="O12" s="3" t="n"/>
      <c r="P12" s="4" t="n"/>
    </row>
    <row r="13">
      <c r="A13" t="n">
        <v>3</v>
      </c>
      <c r="B13" t="inlineStr">
        <is>
          <t>RRP_KMEANS_VNS</t>
        </is>
      </c>
      <c r="C13" t="inlineStr">
        <is>
          <t>KMeans_VNS</t>
        </is>
      </c>
      <c r="F13" s="3" t="n"/>
      <c r="G13" s="3" t="n"/>
      <c r="H13" s="3" t="n"/>
      <c r="L13" s="4" t="n"/>
      <c r="M13" s="3" t="n"/>
      <c r="N13" s="3" t="n"/>
      <c r="O13" s="3" t="n"/>
      <c r="P13" s="4" t="n"/>
    </row>
    <row r="14">
      <c r="A14" t="n">
        <v>3</v>
      </c>
      <c r="B14" t="inlineStr">
        <is>
          <t>RRP_MS_KMEANS_VNS</t>
        </is>
      </c>
      <c r="C14" t="inlineStr">
        <is>
          <t>MS_KMeans_VNS</t>
        </is>
      </c>
      <c r="F14" s="3" t="n"/>
      <c r="G14" s="3" t="n"/>
      <c r="H14" s="3" t="n"/>
      <c r="L14" s="4" t="n"/>
      <c r="M14" s="3" t="n"/>
      <c r="N14" s="3" t="n"/>
      <c r="O14" s="3" t="n"/>
      <c r="P14" s="4" t="n"/>
    </row>
    <row r="15">
      <c r="A15" t="n">
        <v>3</v>
      </c>
      <c r="B15" t="inlineStr">
        <is>
          <t>RRP_GA</t>
        </is>
      </c>
      <c r="C15" t="inlineStr">
        <is>
          <t>GA</t>
        </is>
      </c>
      <c r="F15" s="3" t="n"/>
      <c r="G15" s="3" t="n"/>
      <c r="H15" s="3" t="n"/>
      <c r="L15" s="4" t="n"/>
      <c r="M15" s="3" t="n"/>
      <c r="N15" s="3" t="n"/>
      <c r="O15" s="3" t="n"/>
      <c r="P15" s="4" t="n"/>
    </row>
    <row r="16">
      <c r="A16" t="n">
        <v>3</v>
      </c>
      <c r="B16" t="inlineStr">
        <is>
          <t>RRP_SA</t>
        </is>
      </c>
      <c r="C16" t="inlineStr">
        <is>
          <t>SA</t>
        </is>
      </c>
      <c r="F16" s="3" t="n"/>
      <c r="G16" s="3" t="n"/>
      <c r="H16" s="3" t="n"/>
      <c r="L16" s="4" t="n"/>
      <c r="M16" s="3" t="n"/>
      <c r="N16" s="3" t="n"/>
      <c r="O16" s="3" t="n"/>
      <c r="P16" s="4" t="n"/>
    </row>
    <row r="17">
      <c r="A17" t="n">
        <v>4</v>
      </c>
      <c r="B17" t="inlineStr">
        <is>
          <t>RRP_KMEANS</t>
        </is>
      </c>
      <c r="C17" t="inlineStr">
        <is>
          <t>KMeans</t>
        </is>
      </c>
      <c r="F17" s="3" t="n"/>
      <c r="G17" s="3" t="n"/>
      <c r="H17" s="3" t="n"/>
      <c r="L17" s="4" t="n"/>
      <c r="M17" s="3" t="n"/>
      <c r="N17" s="3" t="n"/>
      <c r="O17" s="3" t="n"/>
      <c r="P17" s="4" t="n"/>
    </row>
    <row r="18">
      <c r="A18" t="n">
        <v>4</v>
      </c>
      <c r="B18" t="inlineStr">
        <is>
          <t>RRP_KMEANS_VNS</t>
        </is>
      </c>
      <c r="C18" t="inlineStr">
        <is>
          <t>KMeans_VNS</t>
        </is>
      </c>
      <c r="F18" s="3" t="n"/>
      <c r="G18" s="3" t="n"/>
      <c r="H18" s="3" t="n"/>
      <c r="L18" s="4" t="n"/>
      <c r="M18" s="3" t="n"/>
      <c r="N18" s="3" t="n"/>
      <c r="O18" s="3" t="n"/>
      <c r="P18" s="4" t="n"/>
    </row>
    <row r="19">
      <c r="A19" t="n">
        <v>4</v>
      </c>
      <c r="B19" t="inlineStr">
        <is>
          <t>RRP_MS_KMEANS_VNS</t>
        </is>
      </c>
      <c r="C19" t="inlineStr">
        <is>
          <t>MS_KMeans_VNS</t>
        </is>
      </c>
      <c r="F19" s="3" t="n"/>
      <c r="G19" s="3" t="n"/>
      <c r="H19" s="3" t="n"/>
      <c r="L19" s="4" t="n"/>
      <c r="M19" s="3" t="n"/>
      <c r="N19" s="3" t="n"/>
      <c r="O19" s="3" t="n"/>
      <c r="P19" s="4" t="n"/>
    </row>
    <row r="20">
      <c r="A20" t="n">
        <v>4</v>
      </c>
      <c r="B20" t="inlineStr">
        <is>
          <t>RRP_GA</t>
        </is>
      </c>
      <c r="C20" t="inlineStr">
        <is>
          <t>GA</t>
        </is>
      </c>
      <c r="F20" s="3" t="n"/>
      <c r="G20" s="3" t="n"/>
      <c r="H20" s="3" t="n"/>
      <c r="L20" s="4" t="n"/>
      <c r="M20" s="3" t="n"/>
      <c r="N20" s="3" t="n"/>
      <c r="O20" s="3" t="n"/>
      <c r="P20" s="4" t="n"/>
    </row>
    <row r="21">
      <c r="A21" t="n">
        <v>4</v>
      </c>
      <c r="B21" t="inlineStr">
        <is>
          <t>RRP_SA</t>
        </is>
      </c>
      <c r="C21" t="inlineStr">
        <is>
          <t>SA</t>
        </is>
      </c>
      <c r="F21" s="3" t="n"/>
      <c r="G21" s="3" t="n"/>
      <c r="H21" s="3" t="n"/>
      <c r="L21" s="4" t="n"/>
      <c r="M21" s="3" t="n"/>
      <c r="N21" s="3" t="n"/>
      <c r="O21" s="3" t="n"/>
      <c r="P21" s="4" t="n"/>
    </row>
    <row r="22">
      <c r="A22" t="n">
        <v>5</v>
      </c>
      <c r="B22" t="inlineStr">
        <is>
          <t>RRP_KMEANS</t>
        </is>
      </c>
      <c r="C22" t="inlineStr">
        <is>
          <t>KMeans</t>
        </is>
      </c>
      <c r="F22" s="3" t="n"/>
      <c r="G22" s="3" t="n"/>
      <c r="H22" s="3" t="n"/>
      <c r="L22" s="4" t="n"/>
      <c r="M22" s="3" t="n"/>
      <c r="N22" s="3" t="n"/>
      <c r="O22" s="3" t="n"/>
      <c r="P22" s="4" t="n"/>
    </row>
    <row r="23">
      <c r="A23" t="n">
        <v>5</v>
      </c>
      <c r="B23" t="inlineStr">
        <is>
          <t>RRP_KMEANS_VNS</t>
        </is>
      </c>
      <c r="C23" t="inlineStr">
        <is>
          <t>KMeans_VNS</t>
        </is>
      </c>
      <c r="F23" s="3" t="n"/>
      <c r="G23" s="3" t="n"/>
      <c r="H23" s="3" t="n"/>
      <c r="L23" s="4" t="n"/>
      <c r="M23" s="3" t="n"/>
      <c r="N23" s="3" t="n"/>
      <c r="O23" s="3" t="n"/>
      <c r="P23" s="4" t="n"/>
    </row>
    <row r="24">
      <c r="A24" t="n">
        <v>5</v>
      </c>
      <c r="B24" t="inlineStr">
        <is>
          <t>RRP_MS_KMEANS_VNS</t>
        </is>
      </c>
      <c r="C24" t="inlineStr">
        <is>
          <t>MS_KMeans_VNS</t>
        </is>
      </c>
      <c r="F24" s="3" t="n"/>
      <c r="G24" s="3" t="n"/>
      <c r="H24" s="3" t="n"/>
      <c r="L24" s="4" t="n"/>
      <c r="M24" s="3" t="n"/>
      <c r="N24" s="3" t="n"/>
      <c r="O24" s="3" t="n"/>
      <c r="P24" s="4" t="n"/>
    </row>
    <row r="25">
      <c r="A25" t="n">
        <v>5</v>
      </c>
      <c r="B25" t="inlineStr">
        <is>
          <t>RRP_GA</t>
        </is>
      </c>
      <c r="C25" t="inlineStr">
        <is>
          <t>GA</t>
        </is>
      </c>
      <c r="F25" s="3" t="n"/>
      <c r="G25" s="3" t="n"/>
      <c r="H25" s="3" t="n"/>
      <c r="L25" s="4" t="n"/>
      <c r="M25" s="3" t="n"/>
      <c r="N25" s="3" t="n"/>
      <c r="O25" s="3" t="n"/>
      <c r="P25" s="4" t="n"/>
    </row>
    <row r="26">
      <c r="A26" t="n">
        <v>5</v>
      </c>
      <c r="B26" t="inlineStr">
        <is>
          <t>RRP_SA</t>
        </is>
      </c>
      <c r="C26" t="inlineStr">
        <is>
          <t>SA</t>
        </is>
      </c>
      <c r="F26" s="3" t="n"/>
      <c r="G26" s="3" t="n"/>
      <c r="H26" s="3" t="n"/>
      <c r="L26" s="4" t="n"/>
      <c r="M26" s="3" t="n"/>
      <c r="N26" s="3" t="n"/>
      <c r="O26" s="3" t="n"/>
      <c r="P26" s="4" t="n"/>
    </row>
    <row r="27">
      <c r="A27" t="n">
        <v>6</v>
      </c>
      <c r="B27" t="inlineStr">
        <is>
          <t>RRP_KMEANS</t>
        </is>
      </c>
      <c r="C27" t="inlineStr">
        <is>
          <t>KMeans</t>
        </is>
      </c>
      <c r="F27" s="3" t="n"/>
      <c r="G27" s="3" t="n"/>
      <c r="H27" s="3" t="n"/>
      <c r="L27" s="4" t="n"/>
      <c r="M27" s="3" t="n"/>
      <c r="N27" s="3" t="n"/>
      <c r="O27" s="3" t="n"/>
      <c r="P27" s="4" t="n"/>
    </row>
    <row r="28">
      <c r="A28" t="n">
        <v>6</v>
      </c>
      <c r="B28" t="inlineStr">
        <is>
          <t>RRP_KMEANS_VNS</t>
        </is>
      </c>
      <c r="C28" t="inlineStr">
        <is>
          <t>KMeans_VNS</t>
        </is>
      </c>
      <c r="F28" s="3" t="n"/>
      <c r="G28" s="3" t="n"/>
      <c r="H28" s="3" t="n"/>
      <c r="L28" s="4" t="n"/>
      <c r="M28" s="3" t="n"/>
      <c r="N28" s="3" t="n"/>
      <c r="O28" s="3" t="n"/>
      <c r="P28" s="4" t="n"/>
    </row>
    <row r="29">
      <c r="A29" t="n">
        <v>6</v>
      </c>
      <c r="B29" t="inlineStr">
        <is>
          <t>RRP_MS_KMEANS_VNS</t>
        </is>
      </c>
      <c r="C29" t="inlineStr">
        <is>
          <t>MS_KMeans_VNS</t>
        </is>
      </c>
      <c r="F29" s="3" t="n"/>
      <c r="G29" s="3" t="n"/>
      <c r="H29" s="3" t="n"/>
      <c r="L29" s="4" t="n"/>
      <c r="M29" s="3" t="n"/>
      <c r="N29" s="3" t="n"/>
      <c r="O29" s="3" t="n"/>
      <c r="P29" s="4" t="n"/>
    </row>
    <row r="30">
      <c r="A30" t="n">
        <v>6</v>
      </c>
      <c r="B30" t="inlineStr">
        <is>
          <t>RRP_GA</t>
        </is>
      </c>
      <c r="C30" t="inlineStr">
        <is>
          <t>GA</t>
        </is>
      </c>
      <c r="F30" s="3" t="n"/>
      <c r="G30" s="3" t="n"/>
      <c r="H30" s="3" t="n"/>
      <c r="L30" s="4" t="n"/>
      <c r="M30" s="3" t="n"/>
      <c r="N30" s="3" t="n"/>
      <c r="O30" s="3" t="n"/>
      <c r="P30" s="4" t="n"/>
    </row>
    <row r="31">
      <c r="A31" t="n">
        <v>6</v>
      </c>
      <c r="B31" t="inlineStr">
        <is>
          <t>RRP_SA</t>
        </is>
      </c>
      <c r="C31" t="inlineStr">
        <is>
          <t>SA</t>
        </is>
      </c>
      <c r="F31" s="3" t="n"/>
      <c r="G31" s="3" t="n"/>
      <c r="H31" s="3" t="n"/>
      <c r="L31" s="4" t="n"/>
      <c r="M31" s="3" t="n"/>
      <c r="N31" s="3" t="n"/>
      <c r="O31" s="3" t="n"/>
      <c r="P31" s="4" t="n"/>
    </row>
    <row r="32">
      <c r="A32" t="n">
        <v>7</v>
      </c>
      <c r="B32" t="inlineStr">
        <is>
          <t>RRP_KMEANS</t>
        </is>
      </c>
      <c r="C32" t="inlineStr">
        <is>
          <t>KMeans</t>
        </is>
      </c>
      <c r="F32" s="3" t="n"/>
      <c r="G32" s="3" t="n"/>
      <c r="H32" s="3" t="n"/>
      <c r="L32" s="4" t="n"/>
      <c r="M32" s="3" t="n"/>
      <c r="N32" s="3" t="n"/>
      <c r="O32" s="3" t="n"/>
      <c r="P32" s="4" t="n"/>
    </row>
    <row r="33">
      <c r="A33" t="n">
        <v>7</v>
      </c>
      <c r="B33" t="inlineStr">
        <is>
          <t>RRP_KMEANS_VNS</t>
        </is>
      </c>
      <c r="C33" t="inlineStr">
        <is>
          <t>KMeans_VNS</t>
        </is>
      </c>
      <c r="F33" s="3" t="n"/>
      <c r="G33" s="3" t="n"/>
      <c r="H33" s="3" t="n"/>
      <c r="L33" s="4" t="n"/>
      <c r="M33" s="3" t="n"/>
      <c r="N33" s="3" t="n"/>
      <c r="O33" s="3" t="n"/>
      <c r="P33" s="4" t="n"/>
    </row>
    <row r="34">
      <c r="A34" t="n">
        <v>7</v>
      </c>
      <c r="B34" t="inlineStr">
        <is>
          <t>RRP_MS_KMEANS_VNS</t>
        </is>
      </c>
      <c r="C34" t="inlineStr">
        <is>
          <t>MS_KMeans_VNS</t>
        </is>
      </c>
      <c r="F34" s="3" t="n"/>
      <c r="G34" s="3" t="n"/>
      <c r="H34" s="3" t="n"/>
      <c r="L34" s="4" t="n"/>
      <c r="M34" s="3" t="n"/>
      <c r="N34" s="3" t="n"/>
      <c r="O34" s="3" t="n"/>
      <c r="P34" s="4" t="n"/>
    </row>
    <row r="35">
      <c r="A35" t="n">
        <v>7</v>
      </c>
      <c r="B35" t="inlineStr">
        <is>
          <t>RRP_GA</t>
        </is>
      </c>
      <c r="C35" t="inlineStr">
        <is>
          <t>GA</t>
        </is>
      </c>
      <c r="F35" s="3" t="n"/>
      <c r="G35" s="3" t="n"/>
      <c r="H35" s="3" t="n"/>
      <c r="L35" s="4" t="n"/>
      <c r="M35" s="3" t="n"/>
      <c r="N35" s="3" t="n"/>
      <c r="O35" s="3" t="n"/>
      <c r="P35" s="4" t="n"/>
    </row>
    <row r="36">
      <c r="A36" t="n">
        <v>7</v>
      </c>
      <c r="B36" t="inlineStr">
        <is>
          <t>RRP_SA</t>
        </is>
      </c>
      <c r="C36" t="inlineStr">
        <is>
          <t>SA</t>
        </is>
      </c>
      <c r="F36" s="3" t="n"/>
      <c r="G36" s="3" t="n"/>
      <c r="H36" s="3" t="n"/>
      <c r="L36" s="4" t="n"/>
      <c r="M36" s="3" t="n"/>
      <c r="N36" s="3" t="n"/>
      <c r="O36" s="3" t="n"/>
      <c r="P36" s="4" t="n"/>
    </row>
    <row r="37">
      <c r="A37" t="n">
        <v>8</v>
      </c>
      <c r="B37" t="inlineStr">
        <is>
          <t>RRP_KMEANS</t>
        </is>
      </c>
      <c r="C37" t="inlineStr">
        <is>
          <t>KMeans</t>
        </is>
      </c>
      <c r="F37" s="3" t="n"/>
      <c r="G37" s="3" t="n"/>
      <c r="H37" s="3" t="n"/>
      <c r="L37" s="4" t="n"/>
      <c r="M37" s="3" t="n"/>
      <c r="N37" s="3" t="n"/>
      <c r="O37" s="3" t="n"/>
      <c r="P37" s="4" t="n"/>
    </row>
    <row r="38">
      <c r="A38" t="n">
        <v>8</v>
      </c>
      <c r="B38" t="inlineStr">
        <is>
          <t>RRP_KMEANS_VNS</t>
        </is>
      </c>
      <c r="C38" t="inlineStr">
        <is>
          <t>KMeans_VNS</t>
        </is>
      </c>
      <c r="F38" s="3" t="n"/>
      <c r="G38" s="3" t="n"/>
      <c r="H38" s="3" t="n"/>
      <c r="L38" s="4" t="n"/>
      <c r="M38" s="3" t="n"/>
      <c r="N38" s="3" t="n"/>
      <c r="O38" s="3" t="n"/>
      <c r="P38" s="4" t="n"/>
    </row>
    <row r="39">
      <c r="A39" t="n">
        <v>8</v>
      </c>
      <c r="B39" t="inlineStr">
        <is>
          <t>RRP_MS_KMEANS_VNS</t>
        </is>
      </c>
      <c r="C39" t="inlineStr">
        <is>
          <t>MS_KMeans_VNS</t>
        </is>
      </c>
      <c r="F39" s="3" t="n"/>
      <c r="G39" s="3" t="n"/>
      <c r="H39" s="3" t="n"/>
      <c r="L39" s="4" t="n"/>
      <c r="M39" s="3" t="n"/>
      <c r="N39" s="3" t="n"/>
      <c r="O39" s="3" t="n"/>
      <c r="P39" s="4" t="n"/>
    </row>
    <row r="40">
      <c r="A40" t="n">
        <v>8</v>
      </c>
      <c r="B40" t="inlineStr">
        <is>
          <t>RRP_GA</t>
        </is>
      </c>
      <c r="C40" t="inlineStr">
        <is>
          <t>GA</t>
        </is>
      </c>
      <c r="F40" s="3" t="n"/>
      <c r="G40" s="3" t="n"/>
      <c r="H40" s="3" t="n"/>
      <c r="L40" s="4" t="n"/>
      <c r="M40" s="3" t="n"/>
      <c r="N40" s="3" t="n"/>
      <c r="O40" s="3" t="n"/>
      <c r="P40" s="4" t="n"/>
    </row>
    <row r="41">
      <c r="A41" t="n">
        <v>8</v>
      </c>
      <c r="B41" t="inlineStr">
        <is>
          <t>RRP_SA</t>
        </is>
      </c>
      <c r="C41" t="inlineStr">
        <is>
          <t>SA</t>
        </is>
      </c>
      <c r="F41" s="3" t="n"/>
      <c r="G41" s="3" t="n"/>
      <c r="H41" s="3" t="n"/>
      <c r="L41" s="4" t="n"/>
      <c r="M41" s="3" t="n"/>
      <c r="N41" s="3" t="n"/>
      <c r="O41" s="3" t="n"/>
      <c r="P41" s="4" t="n"/>
    </row>
    <row r="42">
      <c r="A42" t="n">
        <v>9</v>
      </c>
      <c r="B42" t="inlineStr">
        <is>
          <t>RRP_KMEANS</t>
        </is>
      </c>
      <c r="C42" t="inlineStr">
        <is>
          <t>KMeans</t>
        </is>
      </c>
      <c r="F42" s="3" t="n"/>
      <c r="G42" s="3" t="n"/>
      <c r="H42" s="3" t="n"/>
      <c r="L42" s="4" t="n"/>
      <c r="M42" s="3" t="n"/>
      <c r="N42" s="3" t="n"/>
      <c r="O42" s="3" t="n"/>
      <c r="P42" s="4" t="n"/>
    </row>
    <row r="43">
      <c r="A43" t="n">
        <v>9</v>
      </c>
      <c r="B43" t="inlineStr">
        <is>
          <t>RRP_KMEANS_VNS</t>
        </is>
      </c>
      <c r="C43" t="inlineStr">
        <is>
          <t>KMeans_VNS</t>
        </is>
      </c>
      <c r="F43" s="3" t="n"/>
      <c r="G43" s="3" t="n"/>
      <c r="H43" s="3" t="n"/>
      <c r="L43" s="4" t="n"/>
      <c r="M43" s="3" t="n"/>
      <c r="N43" s="3" t="n"/>
      <c r="O43" s="3" t="n"/>
      <c r="P43" s="4" t="n"/>
    </row>
    <row r="44">
      <c r="A44" t="n">
        <v>9</v>
      </c>
      <c r="B44" t="inlineStr">
        <is>
          <t>RRP_MS_KMEANS_VNS</t>
        </is>
      </c>
      <c r="C44" t="inlineStr">
        <is>
          <t>MS_KMeans_VNS</t>
        </is>
      </c>
      <c r="F44" s="3" t="n"/>
      <c r="G44" s="3" t="n"/>
      <c r="H44" s="3" t="n"/>
      <c r="L44" s="4" t="n"/>
      <c r="M44" s="3" t="n"/>
      <c r="N44" s="3" t="n"/>
      <c r="O44" s="3" t="n"/>
      <c r="P44" s="4" t="n"/>
    </row>
    <row r="45">
      <c r="A45" t="n">
        <v>9</v>
      </c>
      <c r="B45" t="inlineStr">
        <is>
          <t>RRP_GA</t>
        </is>
      </c>
      <c r="C45" t="inlineStr">
        <is>
          <t>GA</t>
        </is>
      </c>
      <c r="F45" s="3" t="n"/>
      <c r="G45" s="3" t="n"/>
      <c r="H45" s="3" t="n"/>
      <c r="L45" s="4" t="n"/>
      <c r="M45" s="3" t="n"/>
      <c r="N45" s="3" t="n"/>
      <c r="O45" s="3" t="n"/>
      <c r="P45" s="4" t="n"/>
    </row>
    <row r="46">
      <c r="A46" t="n">
        <v>9</v>
      </c>
      <c r="B46" t="inlineStr">
        <is>
          <t>RRP_SA</t>
        </is>
      </c>
      <c r="C46" t="inlineStr">
        <is>
          <t>SA</t>
        </is>
      </c>
      <c r="F46" s="3" t="n"/>
      <c r="G46" s="3" t="n"/>
      <c r="H46" s="3" t="n"/>
      <c r="L46" s="4" t="n"/>
      <c r="M46" s="3" t="n"/>
      <c r="N46" s="3" t="n"/>
      <c r="O46" s="3" t="n"/>
      <c r="P46" s="4" t="n"/>
    </row>
    <row r="47">
      <c r="A47" t="n">
        <v>10</v>
      </c>
      <c r="B47" t="inlineStr">
        <is>
          <t>RRP_KMEANS</t>
        </is>
      </c>
      <c r="C47" t="inlineStr">
        <is>
          <t>KMeans</t>
        </is>
      </c>
      <c r="F47" s="3" t="n"/>
      <c r="G47" s="3" t="n"/>
      <c r="H47" s="3" t="n"/>
      <c r="L47" s="4" t="n"/>
      <c r="M47" s="3" t="n"/>
      <c r="N47" s="3" t="n"/>
      <c r="O47" s="3" t="n"/>
      <c r="P47" s="4" t="n"/>
    </row>
    <row r="48">
      <c r="A48" t="n">
        <v>10</v>
      </c>
      <c r="B48" t="inlineStr">
        <is>
          <t>RRP_KMEANS_VNS</t>
        </is>
      </c>
      <c r="C48" t="inlineStr">
        <is>
          <t>KMeans_VNS</t>
        </is>
      </c>
      <c r="F48" s="3" t="n"/>
      <c r="G48" s="3" t="n"/>
      <c r="H48" s="3" t="n"/>
      <c r="L48" s="4" t="n"/>
      <c r="M48" s="3" t="n"/>
      <c r="N48" s="3" t="n"/>
      <c r="O48" s="3" t="n"/>
      <c r="P48" s="4" t="n"/>
    </row>
    <row r="49">
      <c r="A49" t="n">
        <v>10</v>
      </c>
      <c r="B49" t="inlineStr">
        <is>
          <t>RRP_MS_KMEANS_VNS</t>
        </is>
      </c>
      <c r="C49" t="inlineStr">
        <is>
          <t>MS_KMeans_VNS</t>
        </is>
      </c>
      <c r="F49" s="3" t="n"/>
      <c r="G49" s="3" t="n"/>
      <c r="H49" s="3" t="n"/>
      <c r="L49" s="4" t="n"/>
      <c r="M49" s="3" t="n"/>
      <c r="N49" s="3" t="n"/>
      <c r="O49" s="3" t="n"/>
      <c r="P49" s="4" t="n"/>
    </row>
    <row r="50">
      <c r="A50" t="n">
        <v>10</v>
      </c>
      <c r="B50" t="inlineStr">
        <is>
          <t>RRP_GA</t>
        </is>
      </c>
      <c r="C50" t="inlineStr">
        <is>
          <t>GA</t>
        </is>
      </c>
      <c r="F50" s="3" t="n"/>
      <c r="G50" s="3" t="n"/>
      <c r="H50" s="3" t="n"/>
      <c r="L50" s="4" t="n"/>
      <c r="M50" s="3" t="n"/>
      <c r="N50" s="3" t="n"/>
      <c r="O50" s="3" t="n"/>
      <c r="P50" s="4" t="n"/>
    </row>
    <row r="51">
      <c r="A51" t="n">
        <v>10</v>
      </c>
      <c r="B51" t="inlineStr">
        <is>
          <t>RRP_SA</t>
        </is>
      </c>
      <c r="C51" t="inlineStr">
        <is>
          <t>SA</t>
        </is>
      </c>
      <c r="F51" s="3" t="n"/>
      <c r="G51" s="3" t="n"/>
      <c r="H51" s="3" t="n"/>
      <c r="L51" s="4" t="n"/>
      <c r="M51" s="3" t="n"/>
      <c r="N51" s="3" t="n"/>
      <c r="O51" s="3" t="n"/>
      <c r="P51" s="4" t="n"/>
    </row>
    <row r="52">
      <c r="A52" t="n">
        <v>11</v>
      </c>
      <c r="B52" t="inlineStr">
        <is>
          <t>RRP_KMEANS</t>
        </is>
      </c>
      <c r="C52" t="inlineStr">
        <is>
          <t>KMeans</t>
        </is>
      </c>
      <c r="F52" s="3" t="n"/>
      <c r="G52" s="3" t="n"/>
      <c r="H52" s="3" t="n"/>
      <c r="L52" s="4" t="n"/>
      <c r="M52" s="3" t="n"/>
      <c r="N52" s="3" t="n"/>
      <c r="O52" s="3" t="n"/>
      <c r="P52" s="4" t="n"/>
    </row>
    <row r="53">
      <c r="A53" t="n">
        <v>11</v>
      </c>
      <c r="B53" t="inlineStr">
        <is>
          <t>RRP_KMEANS_VNS</t>
        </is>
      </c>
      <c r="C53" t="inlineStr">
        <is>
          <t>KMeans_VNS</t>
        </is>
      </c>
      <c r="F53" s="3" t="n"/>
      <c r="G53" s="3" t="n"/>
      <c r="H53" s="3" t="n"/>
      <c r="L53" s="4" t="n"/>
      <c r="M53" s="3" t="n"/>
      <c r="N53" s="3" t="n"/>
      <c r="O53" s="3" t="n"/>
      <c r="P53" s="4" t="n"/>
    </row>
    <row r="54">
      <c r="A54" t="n">
        <v>11</v>
      </c>
      <c r="B54" t="inlineStr">
        <is>
          <t>RRP_MS_KMEANS_VNS</t>
        </is>
      </c>
      <c r="C54" t="inlineStr">
        <is>
          <t>MS_KMeans_VNS</t>
        </is>
      </c>
      <c r="F54" s="3" t="n"/>
      <c r="G54" s="3" t="n"/>
      <c r="H54" s="3" t="n"/>
      <c r="L54" s="4" t="n"/>
      <c r="M54" s="3" t="n"/>
      <c r="N54" s="3" t="n"/>
      <c r="O54" s="3" t="n"/>
      <c r="P54" s="4" t="n"/>
    </row>
    <row r="55">
      <c r="A55" t="n">
        <v>11</v>
      </c>
      <c r="B55" t="inlineStr">
        <is>
          <t>RRP_GA</t>
        </is>
      </c>
      <c r="C55" t="inlineStr">
        <is>
          <t>GA</t>
        </is>
      </c>
      <c r="F55" s="3" t="n"/>
      <c r="G55" s="3" t="n"/>
      <c r="H55" s="3" t="n"/>
      <c r="L55" s="4" t="n"/>
      <c r="M55" s="3" t="n"/>
      <c r="N55" s="3" t="n"/>
      <c r="O55" s="3" t="n"/>
      <c r="P55" s="4" t="n"/>
    </row>
    <row r="56">
      <c r="A56" t="n">
        <v>11</v>
      </c>
      <c r="B56" t="inlineStr">
        <is>
          <t>RRP_SA</t>
        </is>
      </c>
      <c r="C56" t="inlineStr">
        <is>
          <t>SA</t>
        </is>
      </c>
      <c r="F56" s="3" t="n"/>
      <c r="G56" s="3" t="n"/>
      <c r="H56" s="3" t="n"/>
      <c r="L56" s="4" t="n"/>
      <c r="M56" s="3" t="n"/>
      <c r="N56" s="3" t="n"/>
      <c r="O56" s="3" t="n"/>
      <c r="P56" s="4" t="n"/>
    </row>
    <row r="57">
      <c r="A57" t="n">
        <v>12</v>
      </c>
      <c r="B57" t="inlineStr">
        <is>
          <t>RRP_KMEANS</t>
        </is>
      </c>
      <c r="C57" t="inlineStr">
        <is>
          <t>KMeans</t>
        </is>
      </c>
      <c r="F57" s="3" t="n"/>
      <c r="G57" s="3" t="n"/>
      <c r="H57" s="3" t="n"/>
      <c r="L57" s="4" t="n"/>
      <c r="M57" s="3" t="n"/>
      <c r="N57" s="3" t="n"/>
      <c r="O57" s="3" t="n"/>
      <c r="P57" s="4" t="n"/>
    </row>
    <row r="58">
      <c r="A58" t="n">
        <v>12</v>
      </c>
      <c r="B58" t="inlineStr">
        <is>
          <t>RRP_KMEANS_VNS</t>
        </is>
      </c>
      <c r="C58" t="inlineStr">
        <is>
          <t>KMeans_VNS</t>
        </is>
      </c>
      <c r="F58" s="3" t="n"/>
      <c r="G58" s="3" t="n"/>
      <c r="H58" s="3" t="n"/>
      <c r="L58" s="4" t="n"/>
      <c r="M58" s="3" t="n"/>
      <c r="N58" s="3" t="n"/>
      <c r="O58" s="3" t="n"/>
      <c r="P58" s="4" t="n"/>
    </row>
    <row r="59">
      <c r="A59" t="n">
        <v>12</v>
      </c>
      <c r="B59" t="inlineStr">
        <is>
          <t>RRP_MS_KMEANS_VNS</t>
        </is>
      </c>
      <c r="C59" t="inlineStr">
        <is>
          <t>MS_KMeans_VNS</t>
        </is>
      </c>
      <c r="F59" s="3" t="n"/>
      <c r="G59" s="3" t="n"/>
      <c r="H59" s="3" t="n"/>
      <c r="L59" s="4" t="n"/>
      <c r="M59" s="3" t="n"/>
      <c r="N59" s="3" t="n"/>
      <c r="O59" s="3" t="n"/>
      <c r="P59" s="4" t="n"/>
    </row>
    <row r="60">
      <c r="A60" t="n">
        <v>12</v>
      </c>
      <c r="B60" t="inlineStr">
        <is>
          <t>RRP_GA</t>
        </is>
      </c>
      <c r="C60" t="inlineStr">
        <is>
          <t>GA</t>
        </is>
      </c>
      <c r="F60" s="3" t="n"/>
      <c r="G60" s="3" t="n"/>
      <c r="H60" s="3" t="n"/>
      <c r="L60" s="4" t="n"/>
      <c r="M60" s="3" t="n"/>
      <c r="N60" s="3" t="n"/>
      <c r="O60" s="3" t="n"/>
      <c r="P60" s="4" t="n"/>
    </row>
    <row r="61">
      <c r="A61" t="n">
        <v>12</v>
      </c>
      <c r="B61" t="inlineStr">
        <is>
          <t>RRP_SA</t>
        </is>
      </c>
      <c r="C61" t="inlineStr">
        <is>
          <t>SA</t>
        </is>
      </c>
      <c r="F61" s="3" t="n"/>
      <c r="G61" s="3" t="n"/>
      <c r="H61" s="3" t="n"/>
      <c r="L61" s="4" t="n"/>
      <c r="M61" s="3" t="n"/>
      <c r="N61" s="3" t="n"/>
      <c r="O61" s="3" t="n"/>
      <c r="P61" s="4" t="n"/>
    </row>
    <row r="62">
      <c r="A62" t="n">
        <v>13</v>
      </c>
      <c r="B62" t="inlineStr">
        <is>
          <t>RRP_KMEANS</t>
        </is>
      </c>
      <c r="C62" t="inlineStr">
        <is>
          <t>KMeans</t>
        </is>
      </c>
      <c r="F62" s="3" t="n"/>
      <c r="G62" s="3" t="n"/>
      <c r="H62" s="3" t="n"/>
      <c r="L62" s="4" t="n"/>
      <c r="M62" s="3" t="n"/>
      <c r="N62" s="3" t="n"/>
      <c r="O62" s="3" t="n"/>
      <c r="P62" s="4" t="n"/>
    </row>
    <row r="63">
      <c r="A63" t="n">
        <v>13</v>
      </c>
      <c r="B63" t="inlineStr">
        <is>
          <t>RRP_KMEANS_VNS</t>
        </is>
      </c>
      <c r="C63" t="inlineStr">
        <is>
          <t>KMeans_VNS</t>
        </is>
      </c>
      <c r="F63" s="3" t="n"/>
      <c r="G63" s="3" t="n"/>
      <c r="H63" s="3" t="n"/>
      <c r="L63" s="4" t="n"/>
      <c r="M63" s="3" t="n"/>
      <c r="N63" s="3" t="n"/>
      <c r="O63" s="3" t="n"/>
      <c r="P63" s="4" t="n"/>
    </row>
    <row r="64">
      <c r="A64" t="n">
        <v>13</v>
      </c>
      <c r="B64" t="inlineStr">
        <is>
          <t>RRP_MS_KMEANS_VNS</t>
        </is>
      </c>
      <c r="C64" t="inlineStr">
        <is>
          <t>MS_KMeans_VNS</t>
        </is>
      </c>
      <c r="F64" s="3" t="n"/>
      <c r="G64" s="3" t="n"/>
      <c r="H64" s="3" t="n"/>
      <c r="L64" s="4" t="n"/>
      <c r="M64" s="3" t="n"/>
      <c r="N64" s="3" t="n"/>
      <c r="O64" s="3" t="n"/>
      <c r="P64" s="4" t="n"/>
    </row>
    <row r="65">
      <c r="A65" t="n">
        <v>13</v>
      </c>
      <c r="B65" t="inlineStr">
        <is>
          <t>RRP_GA</t>
        </is>
      </c>
      <c r="C65" t="inlineStr">
        <is>
          <t>GA</t>
        </is>
      </c>
      <c r="F65" s="3" t="n"/>
      <c r="G65" s="3" t="n"/>
      <c r="H65" s="3" t="n"/>
      <c r="L65" s="4" t="n"/>
      <c r="M65" s="3" t="n"/>
      <c r="N65" s="3" t="n"/>
      <c r="O65" s="3" t="n"/>
      <c r="P65" s="4" t="n"/>
    </row>
    <row r="66">
      <c r="A66" t="n">
        <v>13</v>
      </c>
      <c r="B66" t="inlineStr">
        <is>
          <t>RRP_SA</t>
        </is>
      </c>
      <c r="C66" t="inlineStr">
        <is>
          <t>SA</t>
        </is>
      </c>
      <c r="F66" s="3" t="n"/>
      <c r="G66" s="3" t="n"/>
      <c r="H66" s="3" t="n"/>
      <c r="L66" s="4" t="n"/>
      <c r="M66" s="3" t="n"/>
      <c r="N66" s="3" t="n"/>
      <c r="O66" s="3" t="n"/>
      <c r="P66" s="4" t="n"/>
    </row>
    <row r="67">
      <c r="A67" t="n">
        <v>14</v>
      </c>
      <c r="B67" t="inlineStr">
        <is>
          <t>RRP_KMEANS</t>
        </is>
      </c>
      <c r="C67" t="inlineStr">
        <is>
          <t>KMeans</t>
        </is>
      </c>
      <c r="F67" s="3" t="n"/>
      <c r="G67" s="3" t="n"/>
      <c r="H67" s="3" t="n"/>
      <c r="L67" s="4" t="n"/>
      <c r="M67" s="3" t="n"/>
      <c r="N67" s="3" t="n"/>
      <c r="O67" s="3" t="n"/>
      <c r="P67" s="4" t="n"/>
    </row>
    <row r="68">
      <c r="A68" t="n">
        <v>14</v>
      </c>
      <c r="B68" t="inlineStr">
        <is>
          <t>RRP_KMEANS_VNS</t>
        </is>
      </c>
      <c r="C68" t="inlineStr">
        <is>
          <t>KMeans_VNS</t>
        </is>
      </c>
      <c r="F68" s="3" t="n"/>
      <c r="G68" s="3" t="n"/>
      <c r="H68" s="3" t="n"/>
      <c r="L68" s="4" t="n"/>
      <c r="M68" s="3" t="n"/>
      <c r="N68" s="3" t="n"/>
      <c r="O68" s="3" t="n"/>
      <c r="P68" s="4" t="n"/>
    </row>
    <row r="69">
      <c r="A69" t="n">
        <v>14</v>
      </c>
      <c r="B69" t="inlineStr">
        <is>
          <t>RRP_MS_KMEANS_VNS</t>
        </is>
      </c>
      <c r="C69" t="inlineStr">
        <is>
          <t>MS_KMeans_VNS</t>
        </is>
      </c>
      <c r="F69" s="3" t="n"/>
      <c r="G69" s="3" t="n"/>
      <c r="H69" s="3" t="n"/>
      <c r="L69" s="4" t="n"/>
      <c r="M69" s="3" t="n"/>
      <c r="N69" s="3" t="n"/>
      <c r="O69" s="3" t="n"/>
      <c r="P69" s="4" t="n"/>
    </row>
    <row r="70">
      <c r="A70" t="n">
        <v>14</v>
      </c>
      <c r="B70" t="inlineStr">
        <is>
          <t>RRP_GA</t>
        </is>
      </c>
      <c r="C70" t="inlineStr">
        <is>
          <t>GA</t>
        </is>
      </c>
      <c r="F70" s="3" t="n"/>
      <c r="G70" s="3" t="n"/>
      <c r="H70" s="3" t="n"/>
      <c r="L70" s="4" t="n"/>
      <c r="M70" s="3" t="n"/>
      <c r="N70" s="3" t="n"/>
      <c r="O70" s="3" t="n"/>
      <c r="P70" s="4" t="n"/>
    </row>
    <row r="71">
      <c r="A71" t="n">
        <v>14</v>
      </c>
      <c r="B71" t="inlineStr">
        <is>
          <t>RRP_SA</t>
        </is>
      </c>
      <c r="C71" t="inlineStr">
        <is>
          <t>SA</t>
        </is>
      </c>
      <c r="F71" s="3" t="n"/>
      <c r="G71" s="3" t="n"/>
      <c r="H71" s="3" t="n"/>
      <c r="L71" s="4" t="n"/>
      <c r="M71" s="3" t="n"/>
      <c r="N71" s="3" t="n"/>
      <c r="O71" s="3" t="n"/>
      <c r="P71" s="4" t="n"/>
    </row>
    <row r="72">
      <c r="A72" t="n">
        <v>15</v>
      </c>
      <c r="B72" t="inlineStr">
        <is>
          <t>RRP_KMEANS</t>
        </is>
      </c>
      <c r="C72" t="inlineStr">
        <is>
          <t>KMeans</t>
        </is>
      </c>
      <c r="F72" s="3" t="n"/>
      <c r="G72" s="3" t="n"/>
      <c r="H72" s="3" t="n"/>
      <c r="L72" s="4" t="n"/>
      <c r="M72" s="3" t="n"/>
      <c r="N72" s="3" t="n"/>
      <c r="O72" s="3" t="n"/>
      <c r="P72" s="4" t="n"/>
    </row>
    <row r="73">
      <c r="A73" t="n">
        <v>15</v>
      </c>
      <c r="B73" t="inlineStr">
        <is>
          <t>RRP_KMEANS_VNS</t>
        </is>
      </c>
      <c r="C73" t="inlineStr">
        <is>
          <t>KMeans_VNS</t>
        </is>
      </c>
      <c r="F73" s="3" t="n"/>
      <c r="G73" s="3" t="n"/>
      <c r="H73" s="3" t="n"/>
      <c r="L73" s="4" t="n"/>
      <c r="M73" s="3" t="n"/>
      <c r="N73" s="3" t="n"/>
      <c r="O73" s="3" t="n"/>
      <c r="P73" s="4" t="n"/>
    </row>
    <row r="74">
      <c r="A74" t="n">
        <v>15</v>
      </c>
      <c r="B74" t="inlineStr">
        <is>
          <t>RRP_MS_KMEANS_VNS</t>
        </is>
      </c>
      <c r="C74" t="inlineStr">
        <is>
          <t>MS_KMeans_VNS</t>
        </is>
      </c>
      <c r="F74" s="3" t="n"/>
      <c r="G74" s="3" t="n"/>
      <c r="H74" s="3" t="n"/>
      <c r="L74" s="4" t="n"/>
      <c r="M74" s="3" t="n"/>
      <c r="N74" s="3" t="n"/>
      <c r="O74" s="3" t="n"/>
      <c r="P74" s="4" t="n"/>
    </row>
    <row r="75">
      <c r="A75" t="n">
        <v>15</v>
      </c>
      <c r="B75" t="inlineStr">
        <is>
          <t>RRP_GA</t>
        </is>
      </c>
      <c r="C75" t="inlineStr">
        <is>
          <t>GA</t>
        </is>
      </c>
      <c r="F75" s="3" t="n"/>
      <c r="G75" s="3" t="n"/>
      <c r="H75" s="3" t="n"/>
      <c r="L75" s="4" t="n"/>
      <c r="M75" s="3" t="n"/>
      <c r="N75" s="3" t="n"/>
      <c r="O75" s="3" t="n"/>
      <c r="P75" s="4" t="n"/>
    </row>
    <row r="76">
      <c r="A76" t="n">
        <v>15</v>
      </c>
      <c r="B76" t="inlineStr">
        <is>
          <t>RRP_SA</t>
        </is>
      </c>
      <c r="C76" t="inlineStr">
        <is>
          <t>SA</t>
        </is>
      </c>
      <c r="F76" s="3" t="n"/>
      <c r="G76" s="3" t="n"/>
      <c r="H76" s="3" t="n"/>
      <c r="L76" s="4" t="n"/>
      <c r="M76" s="3" t="n"/>
      <c r="N76" s="3" t="n"/>
      <c r="O76" s="3" t="n"/>
      <c r="P76" s="4" t="n"/>
    </row>
    <row r="77">
      <c r="A77" t="n">
        <v>16</v>
      </c>
      <c r="B77" t="inlineStr">
        <is>
          <t>RRP_KMEANS</t>
        </is>
      </c>
      <c r="C77" t="inlineStr">
        <is>
          <t>KMeans</t>
        </is>
      </c>
      <c r="F77" s="3" t="n"/>
      <c r="G77" s="3" t="n"/>
      <c r="H77" s="3" t="n"/>
      <c r="L77" s="4" t="n"/>
      <c r="M77" s="3" t="n"/>
      <c r="N77" s="3" t="n"/>
      <c r="O77" s="3" t="n"/>
      <c r="P77" s="4" t="n"/>
    </row>
    <row r="78">
      <c r="A78" t="n">
        <v>16</v>
      </c>
      <c r="B78" t="inlineStr">
        <is>
          <t>RRP_KMEANS_VNS</t>
        </is>
      </c>
      <c r="C78" t="inlineStr">
        <is>
          <t>KMeans_VNS</t>
        </is>
      </c>
      <c r="F78" s="3" t="n"/>
      <c r="G78" s="3" t="n"/>
      <c r="H78" s="3" t="n"/>
      <c r="L78" s="4" t="n"/>
      <c r="M78" s="3" t="n"/>
      <c r="N78" s="3" t="n"/>
      <c r="O78" s="3" t="n"/>
      <c r="P78" s="4" t="n"/>
    </row>
    <row r="79">
      <c r="A79" t="n">
        <v>16</v>
      </c>
      <c r="B79" t="inlineStr">
        <is>
          <t>RRP_MS_KMEANS_VNS</t>
        </is>
      </c>
      <c r="C79" t="inlineStr">
        <is>
          <t>MS_KMeans_VNS</t>
        </is>
      </c>
      <c r="F79" s="3" t="n"/>
      <c r="G79" s="3" t="n"/>
      <c r="H79" s="3" t="n"/>
      <c r="L79" s="4" t="n"/>
      <c r="M79" s="3" t="n"/>
      <c r="N79" s="3" t="n"/>
      <c r="O79" s="3" t="n"/>
      <c r="P79" s="4" t="n"/>
    </row>
    <row r="80">
      <c r="A80" t="n">
        <v>16</v>
      </c>
      <c r="B80" t="inlineStr">
        <is>
          <t>RRP_GA</t>
        </is>
      </c>
      <c r="C80" t="inlineStr">
        <is>
          <t>GA</t>
        </is>
      </c>
      <c r="F80" s="3" t="n"/>
      <c r="G80" s="3" t="n"/>
      <c r="H80" s="3" t="n"/>
      <c r="L80" s="4" t="n"/>
      <c r="M80" s="3" t="n"/>
      <c r="N80" s="3" t="n"/>
      <c r="O80" s="3" t="n"/>
      <c r="P80" s="4" t="n"/>
    </row>
    <row r="81">
      <c r="A81" t="n">
        <v>16</v>
      </c>
      <c r="B81" t="inlineStr">
        <is>
          <t>RRP_SA</t>
        </is>
      </c>
      <c r="C81" t="inlineStr">
        <is>
          <t>SA</t>
        </is>
      </c>
      <c r="F81" s="3" t="n"/>
      <c r="G81" s="3" t="n"/>
      <c r="H81" s="3" t="n"/>
      <c r="L81" s="4" t="n"/>
      <c r="M81" s="3" t="n"/>
      <c r="N81" s="3" t="n"/>
      <c r="O81" s="3" t="n"/>
      <c r="P81" s="4" t="n"/>
    </row>
    <row r="82">
      <c r="A82" t="n">
        <v>17</v>
      </c>
      <c r="B82" t="inlineStr">
        <is>
          <t>RRP_KMEANS</t>
        </is>
      </c>
      <c r="C82" t="inlineStr">
        <is>
          <t>KMeans</t>
        </is>
      </c>
      <c r="F82" s="3" t="n"/>
      <c r="G82" s="3" t="n"/>
      <c r="H82" s="3" t="n"/>
      <c r="L82" s="4" t="n"/>
      <c r="M82" s="3" t="n"/>
      <c r="N82" s="3" t="n"/>
      <c r="O82" s="3" t="n"/>
      <c r="P82" s="4" t="n"/>
    </row>
    <row r="83">
      <c r="A83" t="n">
        <v>17</v>
      </c>
      <c r="B83" t="inlineStr">
        <is>
          <t>RRP_KMEANS_VNS</t>
        </is>
      </c>
      <c r="C83" t="inlineStr">
        <is>
          <t>KMeans_VNS</t>
        </is>
      </c>
      <c r="F83" s="3" t="n"/>
      <c r="G83" s="3" t="n"/>
      <c r="H83" s="3" t="n"/>
      <c r="L83" s="4" t="n"/>
      <c r="M83" s="3" t="n"/>
      <c r="N83" s="3" t="n"/>
      <c r="O83" s="3" t="n"/>
      <c r="P83" s="4" t="n"/>
    </row>
    <row r="84">
      <c r="A84" t="n">
        <v>17</v>
      </c>
      <c r="B84" t="inlineStr">
        <is>
          <t>RRP_MS_KMEANS_VNS</t>
        </is>
      </c>
      <c r="C84" t="inlineStr">
        <is>
          <t>MS_KMeans_VNS</t>
        </is>
      </c>
      <c r="F84" s="3" t="n"/>
      <c r="G84" s="3" t="n"/>
      <c r="H84" s="3" t="n"/>
      <c r="L84" s="4" t="n"/>
      <c r="M84" s="3" t="n"/>
      <c r="N84" s="3" t="n"/>
      <c r="O84" s="3" t="n"/>
      <c r="P84" s="4" t="n"/>
    </row>
    <row r="85">
      <c r="A85" t="n">
        <v>17</v>
      </c>
      <c r="B85" t="inlineStr">
        <is>
          <t>RRP_GA</t>
        </is>
      </c>
      <c r="C85" t="inlineStr">
        <is>
          <t>GA</t>
        </is>
      </c>
      <c r="F85" s="3" t="n"/>
      <c r="G85" s="3" t="n"/>
      <c r="H85" s="3" t="n"/>
      <c r="L85" s="4" t="n"/>
      <c r="M85" s="3" t="n"/>
      <c r="N85" s="3" t="n"/>
      <c r="O85" s="3" t="n"/>
      <c r="P85" s="4" t="n"/>
    </row>
    <row r="86">
      <c r="A86" t="n">
        <v>17</v>
      </c>
      <c r="B86" t="inlineStr">
        <is>
          <t>RRP_SA</t>
        </is>
      </c>
      <c r="C86" t="inlineStr">
        <is>
          <t>SA</t>
        </is>
      </c>
      <c r="F86" s="3" t="n"/>
      <c r="G86" s="3" t="n"/>
      <c r="H86" s="3" t="n"/>
      <c r="L86" s="4" t="n"/>
      <c r="M86" s="3" t="n"/>
      <c r="N86" s="3" t="n"/>
      <c r="O86" s="3" t="n"/>
      <c r="P86" s="4" t="n"/>
    </row>
    <row r="87">
      <c r="A87" t="n">
        <v>18</v>
      </c>
      <c r="B87" t="inlineStr">
        <is>
          <t>RRP_KMEANS</t>
        </is>
      </c>
      <c r="C87" t="inlineStr">
        <is>
          <t>KMeans</t>
        </is>
      </c>
      <c r="F87" s="3" t="n"/>
      <c r="G87" s="3" t="n"/>
      <c r="H87" s="3" t="n"/>
      <c r="L87" s="4" t="n"/>
      <c r="M87" s="3" t="n"/>
      <c r="N87" s="3" t="n"/>
      <c r="O87" s="3" t="n"/>
      <c r="P87" s="4" t="n"/>
    </row>
    <row r="88">
      <c r="A88" t="n">
        <v>18</v>
      </c>
      <c r="B88" t="inlineStr">
        <is>
          <t>RRP_KMEANS_VNS</t>
        </is>
      </c>
      <c r="C88" t="inlineStr">
        <is>
          <t>KMeans_VNS</t>
        </is>
      </c>
      <c r="F88" s="3" t="n"/>
      <c r="G88" s="3" t="n"/>
      <c r="H88" s="3" t="n"/>
      <c r="L88" s="4" t="n"/>
      <c r="M88" s="3" t="n"/>
      <c r="N88" s="3" t="n"/>
      <c r="O88" s="3" t="n"/>
      <c r="P88" s="4" t="n"/>
    </row>
    <row r="89">
      <c r="A89" t="n">
        <v>18</v>
      </c>
      <c r="B89" t="inlineStr">
        <is>
          <t>RRP_MS_KMEANS_VNS</t>
        </is>
      </c>
      <c r="C89" t="inlineStr">
        <is>
          <t>MS_KMeans_VNS</t>
        </is>
      </c>
      <c r="F89" s="3" t="n"/>
      <c r="G89" s="3" t="n"/>
      <c r="H89" s="3" t="n"/>
      <c r="L89" s="4" t="n"/>
      <c r="M89" s="3" t="n"/>
      <c r="N89" s="3" t="n"/>
      <c r="O89" s="3" t="n"/>
      <c r="P89" s="4" t="n"/>
    </row>
    <row r="90">
      <c r="A90" t="n">
        <v>18</v>
      </c>
      <c r="B90" t="inlineStr">
        <is>
          <t>RRP_GA</t>
        </is>
      </c>
      <c r="C90" t="inlineStr">
        <is>
          <t>GA</t>
        </is>
      </c>
      <c r="F90" s="3" t="n"/>
      <c r="G90" s="3" t="n"/>
      <c r="H90" s="3" t="n"/>
      <c r="L90" s="4" t="n"/>
      <c r="M90" s="3" t="n"/>
      <c r="N90" s="3" t="n"/>
      <c r="O90" s="3" t="n"/>
      <c r="P90" s="4" t="n"/>
    </row>
    <row r="91">
      <c r="A91" t="n">
        <v>18</v>
      </c>
      <c r="B91" t="inlineStr">
        <is>
          <t>RRP_SA</t>
        </is>
      </c>
      <c r="C91" t="inlineStr">
        <is>
          <t>SA</t>
        </is>
      </c>
      <c r="F91" s="3" t="n"/>
      <c r="G91" s="3" t="n"/>
      <c r="H91" s="3" t="n"/>
      <c r="L91" s="4" t="n"/>
      <c r="M91" s="3" t="n"/>
      <c r="N91" s="3" t="n"/>
      <c r="O91" s="3" t="n"/>
      <c r="P91" s="4" t="n"/>
    </row>
    <row r="92">
      <c r="A92" t="n">
        <v>19</v>
      </c>
      <c r="B92" t="inlineStr">
        <is>
          <t>RRP_KMEANS</t>
        </is>
      </c>
      <c r="C92" t="inlineStr">
        <is>
          <t>KMeans</t>
        </is>
      </c>
      <c r="F92" s="3" t="n"/>
      <c r="G92" s="3" t="n"/>
      <c r="H92" s="3" t="n"/>
      <c r="L92" s="4" t="n"/>
      <c r="M92" s="3" t="n"/>
      <c r="N92" s="3" t="n"/>
      <c r="O92" s="3" t="n"/>
      <c r="P92" s="4" t="n"/>
    </row>
    <row r="93">
      <c r="A93" t="n">
        <v>19</v>
      </c>
      <c r="B93" t="inlineStr">
        <is>
          <t>RRP_KMEANS_VNS</t>
        </is>
      </c>
      <c r="C93" t="inlineStr">
        <is>
          <t>KMeans_VNS</t>
        </is>
      </c>
      <c r="F93" s="3" t="n"/>
      <c r="G93" s="3" t="n"/>
      <c r="H93" s="3" t="n"/>
      <c r="L93" s="4" t="n"/>
      <c r="M93" s="3" t="n"/>
      <c r="N93" s="3" t="n"/>
      <c r="O93" s="3" t="n"/>
      <c r="P93" s="4" t="n"/>
    </row>
    <row r="94">
      <c r="A94" t="n">
        <v>19</v>
      </c>
      <c r="B94" t="inlineStr">
        <is>
          <t>RRP_MS_KMEANS_VNS</t>
        </is>
      </c>
      <c r="C94" t="inlineStr">
        <is>
          <t>MS_KMeans_VNS</t>
        </is>
      </c>
      <c r="F94" s="3" t="n"/>
      <c r="G94" s="3" t="n"/>
      <c r="H94" s="3" t="n"/>
      <c r="L94" s="4" t="n"/>
      <c r="M94" s="3" t="n"/>
      <c r="N94" s="3" t="n"/>
      <c r="O94" s="3" t="n"/>
      <c r="P94" s="4" t="n"/>
    </row>
    <row r="95">
      <c r="A95" t="n">
        <v>19</v>
      </c>
      <c r="B95" t="inlineStr">
        <is>
          <t>RRP_GA</t>
        </is>
      </c>
      <c r="C95" t="inlineStr">
        <is>
          <t>GA</t>
        </is>
      </c>
      <c r="F95" s="3" t="n"/>
      <c r="G95" s="3" t="n"/>
      <c r="H95" s="3" t="n"/>
      <c r="L95" s="4" t="n"/>
      <c r="M95" s="3" t="n"/>
      <c r="N95" s="3" t="n"/>
      <c r="O95" s="3" t="n"/>
      <c r="P95" s="4" t="n"/>
    </row>
    <row r="96">
      <c r="A96" t="n">
        <v>19</v>
      </c>
      <c r="B96" t="inlineStr">
        <is>
          <t>RRP_SA</t>
        </is>
      </c>
      <c r="C96" t="inlineStr">
        <is>
          <t>SA</t>
        </is>
      </c>
      <c r="F96" s="3" t="n"/>
      <c r="G96" s="3" t="n"/>
      <c r="H96" s="3" t="n"/>
      <c r="L96" s="4" t="n"/>
      <c r="M96" s="3" t="n"/>
      <c r="N96" s="3" t="n"/>
      <c r="O96" s="3" t="n"/>
      <c r="P96" s="4" t="n"/>
    </row>
    <row r="97">
      <c r="A97" t="n">
        <v>20</v>
      </c>
      <c r="B97" t="inlineStr">
        <is>
          <t>RRP_KMEANS</t>
        </is>
      </c>
      <c r="C97" t="inlineStr">
        <is>
          <t>KMeans</t>
        </is>
      </c>
      <c r="F97" s="3" t="n"/>
      <c r="G97" s="3" t="n"/>
      <c r="H97" s="3" t="n"/>
      <c r="L97" s="4" t="n"/>
      <c r="M97" s="3" t="n"/>
      <c r="N97" s="3" t="n"/>
      <c r="O97" s="3" t="n"/>
      <c r="P97" s="4" t="n"/>
    </row>
    <row r="98">
      <c r="A98" t="n">
        <v>20</v>
      </c>
      <c r="B98" t="inlineStr">
        <is>
          <t>RRP_KMEANS_VNS</t>
        </is>
      </c>
      <c r="C98" t="inlineStr">
        <is>
          <t>KMeans_VNS</t>
        </is>
      </c>
      <c r="F98" s="3" t="n"/>
      <c r="G98" s="3" t="n"/>
      <c r="H98" s="3" t="n"/>
      <c r="L98" s="4" t="n"/>
      <c r="M98" s="3" t="n"/>
      <c r="N98" s="3" t="n"/>
      <c r="O98" s="3" t="n"/>
      <c r="P98" s="4" t="n"/>
    </row>
    <row r="99">
      <c r="A99" t="n">
        <v>20</v>
      </c>
      <c r="B99" t="inlineStr">
        <is>
          <t>RRP_MS_KMEANS_VNS</t>
        </is>
      </c>
      <c r="C99" t="inlineStr">
        <is>
          <t>MS_KMeans_VNS</t>
        </is>
      </c>
      <c r="F99" s="3" t="n"/>
      <c r="G99" s="3" t="n"/>
      <c r="H99" s="3" t="n"/>
      <c r="L99" s="4" t="n"/>
      <c r="M99" s="3" t="n"/>
      <c r="N99" s="3" t="n"/>
      <c r="O99" s="3" t="n"/>
      <c r="P99" s="4" t="n"/>
    </row>
    <row r="100">
      <c r="A100" t="n">
        <v>20</v>
      </c>
      <c r="B100" t="inlineStr">
        <is>
          <t>RRP_GA</t>
        </is>
      </c>
      <c r="C100" t="inlineStr">
        <is>
          <t>GA</t>
        </is>
      </c>
      <c r="F100" s="3" t="n"/>
      <c r="G100" s="3" t="n"/>
      <c r="H100" s="3" t="n"/>
      <c r="L100" s="4" t="n"/>
      <c r="M100" s="3" t="n"/>
      <c r="N100" s="3" t="n"/>
      <c r="O100" s="3" t="n"/>
      <c r="P100" s="4" t="n"/>
    </row>
    <row r="101">
      <c r="A101" t="n">
        <v>20</v>
      </c>
      <c r="B101" t="inlineStr">
        <is>
          <t>RRP_SA</t>
        </is>
      </c>
      <c r="C101" t="inlineStr">
        <is>
          <t>SA</t>
        </is>
      </c>
      <c r="F101" s="3" t="n"/>
      <c r="G101" s="3" t="n"/>
      <c r="H101" s="3" t="n"/>
      <c r="L101" s="4" t="n"/>
      <c r="M101" s="3" t="n"/>
      <c r="N101" s="3" t="n"/>
      <c r="O101" s="3" t="n"/>
      <c r="P10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MAXIFS(Round_Results!$K:$K,Round_Results!$B:$B,$A2,Round_Results!$A:$A,20)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MAXIFS(Round_Results!$K:$K,Round_Results!$B:$B,$A3,Round_Results!$A:$A,20)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RRP_MS_KMEANS_VNS</t>
        </is>
      </c>
      <c r="B4" t="inlineStr">
        <is>
          <t>MS_KMeans_VNS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MAXIFS(Round_Results!$K:$K,Round_Results!$B:$B,$A4,Round_Results!$A:$A,20)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RRP_GA</t>
        </is>
      </c>
      <c r="B5" t="inlineStr">
        <is>
          <t>GA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MAXIFS(Round_Results!$K:$K,Round_Results!$B:$B,$A5,Round_Results!$A:$A,20)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  <row r="6">
      <c r="A6" t="inlineStr">
        <is>
          <t>RRP_SA</t>
        </is>
      </c>
      <c r="B6" t="inlineStr">
        <is>
          <t>SA</t>
        </is>
      </c>
      <c r="C6" s="3">
        <f>SUMIFS(Round_Results!$F:$F,Round_Results!$B:$B,$A6)</f>
        <v/>
      </c>
      <c r="D6" s="3">
        <f>MAXIFS(Round_Results!$G:$G,Round_Results!$B:$B,$A6)</f>
        <v/>
      </c>
      <c r="E6" s="3">
        <f>SUMIFS(Round_Results!$H:$H,Round_Results!$B:$B,$A6)</f>
        <v/>
      </c>
      <c r="F6" s="3">
        <f>AVERAGEIFS(Round_Results!$H:$H,Round_Results!$B:$B,$A6)</f>
        <v/>
      </c>
      <c r="G6" s="3">
        <f>SUMIFS(Round_Results!$I:$I,Round_Results!$B:$B,$A6)</f>
        <v/>
      </c>
      <c r="H6" s="3">
        <f>SUMIFS(Round_Results!$J:$J,Round_Results!$B:$B,$A6)</f>
        <v/>
      </c>
      <c r="I6" s="3">
        <f>MAXIFS(Round_Results!$K:$K,Round_Results!$B:$B,$A6,Round_Results!$A:$A,20)</f>
        <v/>
      </c>
      <c r="J6" s="3">
        <f>SUMIFS(Round_Results!$U:$U,Round_Results!$B:$B,$A6)</f>
        <v/>
      </c>
      <c r="K6" s="3">
        <f>SUMIFS(Round_Results!$V:$V,Round_Results!$B:$B,$A6)</f>
        <v/>
      </c>
      <c r="L6" s="3">
        <f>SUMIFS(Round_Results!$W:$W,Round_Results!$B:$B,$A6)</f>
        <v/>
      </c>
      <c r="M6" s="3">
        <f>SUMIFS(Round_Results!$X:$X,Round_Results!$B:$B,$A6)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RRP_SA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  <c r="F2" s="3">
        <f>SUMIFS(Round_Results!$F:$F,Round_Results!$B:$B,F$1,Round_Results!$A:$A,"&lt;="&amp;$A2)</f>
        <v/>
      </c>
    </row>
    <row r="3">
      <c r="A3" t="n">
        <v>2</v>
      </c>
      <c r="B3" s="3">
        <f>SUMIFS(Round_Results!$F:$F,Round_Results!$B:$B,B$1,Round_Results!$A:$A,"&lt;="&amp;$A3)</f>
        <v/>
      </c>
      <c r="C3" s="3">
        <f>SUMIFS(Round_Results!$F:$F,Round_Results!$B:$B,C$1,Round_Results!$A:$A,"&lt;="&amp;$A3)</f>
        <v/>
      </c>
      <c r="D3" s="3">
        <f>SUMIFS(Round_Results!$F:$F,Round_Results!$B:$B,D$1,Round_Results!$A:$A,"&lt;="&amp;$A3)</f>
        <v/>
      </c>
      <c r="E3" s="3">
        <f>SUMIFS(Round_Results!$F:$F,Round_Results!$B:$B,E$1,Round_Results!$A:$A,"&lt;="&amp;$A3)</f>
        <v/>
      </c>
      <c r="F3" s="3">
        <f>SUMIFS(Round_Results!$F:$F,Round_Results!$B:$B,F$1,Round_Results!$A:$A,"&lt;="&amp;$A3)</f>
        <v/>
      </c>
    </row>
    <row r="4">
      <c r="A4" t="n">
        <v>3</v>
      </c>
      <c r="B4" s="3">
        <f>SUMIFS(Round_Results!$F:$F,Round_Results!$B:$B,B$1,Round_Results!$A:$A,"&lt;="&amp;$A4)</f>
        <v/>
      </c>
      <c r="C4" s="3">
        <f>SUMIFS(Round_Results!$F:$F,Round_Results!$B:$B,C$1,Round_Results!$A:$A,"&lt;="&amp;$A4)</f>
        <v/>
      </c>
      <c r="D4" s="3">
        <f>SUMIFS(Round_Results!$F:$F,Round_Results!$B:$B,D$1,Round_Results!$A:$A,"&lt;="&amp;$A4)</f>
        <v/>
      </c>
      <c r="E4" s="3">
        <f>SUMIFS(Round_Results!$F:$F,Round_Results!$B:$B,E$1,Round_Results!$A:$A,"&lt;="&amp;$A4)</f>
        <v/>
      </c>
      <c r="F4" s="3">
        <f>SUMIFS(Round_Results!$F:$F,Round_Results!$B:$B,F$1,Round_Results!$A:$A,"&lt;="&amp;$A4)</f>
        <v/>
      </c>
    </row>
    <row r="5">
      <c r="A5" t="n">
        <v>4</v>
      </c>
      <c r="B5" s="3">
        <f>SUMIFS(Round_Results!$F:$F,Round_Results!$B:$B,B$1,Round_Results!$A:$A,"&lt;="&amp;$A5)</f>
        <v/>
      </c>
      <c r="C5" s="3">
        <f>SUMIFS(Round_Results!$F:$F,Round_Results!$B:$B,C$1,Round_Results!$A:$A,"&lt;="&amp;$A5)</f>
        <v/>
      </c>
      <c r="D5" s="3">
        <f>SUMIFS(Round_Results!$F:$F,Round_Results!$B:$B,D$1,Round_Results!$A:$A,"&lt;="&amp;$A5)</f>
        <v/>
      </c>
      <c r="E5" s="3">
        <f>SUMIFS(Round_Results!$F:$F,Round_Results!$B:$B,E$1,Round_Results!$A:$A,"&lt;="&amp;$A5)</f>
        <v/>
      </c>
      <c r="F5" s="3">
        <f>SUMIFS(Round_Results!$F:$F,Round_Results!$B:$B,F$1,Round_Results!$A:$A,"&lt;="&amp;$A5)</f>
        <v/>
      </c>
    </row>
    <row r="6">
      <c r="A6" t="n">
        <v>5</v>
      </c>
      <c r="B6" s="3">
        <f>SUMIFS(Round_Results!$F:$F,Round_Results!$B:$B,B$1,Round_Results!$A:$A,"&lt;="&amp;$A6)</f>
        <v/>
      </c>
      <c r="C6" s="3">
        <f>SUMIFS(Round_Results!$F:$F,Round_Results!$B:$B,C$1,Round_Results!$A:$A,"&lt;="&amp;$A6)</f>
        <v/>
      </c>
      <c r="D6" s="3">
        <f>SUMIFS(Round_Results!$F:$F,Round_Results!$B:$B,D$1,Round_Results!$A:$A,"&lt;="&amp;$A6)</f>
        <v/>
      </c>
      <c r="E6" s="3">
        <f>SUMIFS(Round_Results!$F:$F,Round_Results!$B:$B,E$1,Round_Results!$A:$A,"&lt;="&amp;$A6)</f>
        <v/>
      </c>
      <c r="F6" s="3">
        <f>SUMIFS(Round_Results!$F:$F,Round_Results!$B:$B,F$1,Round_Results!$A:$A,"&lt;="&amp;$A6)</f>
        <v/>
      </c>
    </row>
    <row r="7">
      <c r="A7" t="n">
        <v>6</v>
      </c>
      <c r="B7" s="3">
        <f>SUMIFS(Round_Results!$F:$F,Round_Results!$B:$B,B$1,Round_Results!$A:$A,"&lt;="&amp;$A7)</f>
        <v/>
      </c>
      <c r="C7" s="3">
        <f>SUMIFS(Round_Results!$F:$F,Round_Results!$B:$B,C$1,Round_Results!$A:$A,"&lt;="&amp;$A7)</f>
        <v/>
      </c>
      <c r="D7" s="3">
        <f>SUMIFS(Round_Results!$F:$F,Round_Results!$B:$B,D$1,Round_Results!$A:$A,"&lt;="&amp;$A7)</f>
        <v/>
      </c>
      <c r="E7" s="3">
        <f>SUMIFS(Round_Results!$F:$F,Round_Results!$B:$B,E$1,Round_Results!$A:$A,"&lt;="&amp;$A7)</f>
        <v/>
      </c>
      <c r="F7" s="3">
        <f>SUMIFS(Round_Results!$F:$F,Round_Results!$B:$B,F$1,Round_Results!$A:$A,"&lt;="&amp;$A7)</f>
        <v/>
      </c>
    </row>
    <row r="8">
      <c r="A8" t="n">
        <v>7</v>
      </c>
      <c r="B8" s="3">
        <f>SUMIFS(Round_Results!$F:$F,Round_Results!$B:$B,B$1,Round_Results!$A:$A,"&lt;="&amp;$A8)</f>
        <v/>
      </c>
      <c r="C8" s="3">
        <f>SUMIFS(Round_Results!$F:$F,Round_Results!$B:$B,C$1,Round_Results!$A:$A,"&lt;="&amp;$A8)</f>
        <v/>
      </c>
      <c r="D8" s="3">
        <f>SUMIFS(Round_Results!$F:$F,Round_Results!$B:$B,D$1,Round_Results!$A:$A,"&lt;="&amp;$A8)</f>
        <v/>
      </c>
      <c r="E8" s="3">
        <f>SUMIFS(Round_Results!$F:$F,Round_Results!$B:$B,E$1,Round_Results!$A:$A,"&lt;="&amp;$A8)</f>
        <v/>
      </c>
      <c r="F8" s="3">
        <f>SUMIFS(Round_Results!$F:$F,Round_Results!$B:$B,F$1,Round_Results!$A:$A,"&lt;="&amp;$A8)</f>
        <v/>
      </c>
    </row>
    <row r="9">
      <c r="A9" t="n">
        <v>8</v>
      </c>
      <c r="B9" s="3">
        <f>SUMIFS(Round_Results!$F:$F,Round_Results!$B:$B,B$1,Round_Results!$A:$A,"&lt;="&amp;$A9)</f>
        <v/>
      </c>
      <c r="C9" s="3">
        <f>SUMIFS(Round_Results!$F:$F,Round_Results!$B:$B,C$1,Round_Results!$A:$A,"&lt;="&amp;$A9)</f>
        <v/>
      </c>
      <c r="D9" s="3">
        <f>SUMIFS(Round_Results!$F:$F,Round_Results!$B:$B,D$1,Round_Results!$A:$A,"&lt;="&amp;$A9)</f>
        <v/>
      </c>
      <c r="E9" s="3">
        <f>SUMIFS(Round_Results!$F:$F,Round_Results!$B:$B,E$1,Round_Results!$A:$A,"&lt;="&amp;$A9)</f>
        <v/>
      </c>
      <c r="F9" s="3">
        <f>SUMIFS(Round_Results!$F:$F,Round_Results!$B:$B,F$1,Round_Results!$A:$A,"&lt;="&amp;$A9)</f>
        <v/>
      </c>
    </row>
    <row r="10">
      <c r="A10" t="n">
        <v>9</v>
      </c>
      <c r="B10" s="3">
        <f>SUMIFS(Round_Results!$F:$F,Round_Results!$B:$B,B$1,Round_Results!$A:$A,"&lt;="&amp;$A10)</f>
        <v/>
      </c>
      <c r="C10" s="3">
        <f>SUMIFS(Round_Results!$F:$F,Round_Results!$B:$B,C$1,Round_Results!$A:$A,"&lt;="&amp;$A10)</f>
        <v/>
      </c>
      <c r="D10" s="3">
        <f>SUMIFS(Round_Results!$F:$F,Round_Results!$B:$B,D$1,Round_Results!$A:$A,"&lt;="&amp;$A10)</f>
        <v/>
      </c>
      <c r="E10" s="3">
        <f>SUMIFS(Round_Results!$F:$F,Round_Results!$B:$B,E$1,Round_Results!$A:$A,"&lt;="&amp;$A10)</f>
        <v/>
      </c>
      <c r="F10" s="3">
        <f>SUMIFS(Round_Results!$F:$F,Round_Results!$B:$B,F$1,Round_Results!$A:$A,"&lt;="&amp;$A10)</f>
        <v/>
      </c>
    </row>
    <row r="11">
      <c r="A11" t="n">
        <v>10</v>
      </c>
      <c r="B11" s="3">
        <f>SUMIFS(Round_Results!$F:$F,Round_Results!$B:$B,B$1,Round_Results!$A:$A,"&lt;="&amp;$A11)</f>
        <v/>
      </c>
      <c r="C11" s="3">
        <f>SUMIFS(Round_Results!$F:$F,Round_Results!$B:$B,C$1,Round_Results!$A:$A,"&lt;="&amp;$A11)</f>
        <v/>
      </c>
      <c r="D11" s="3">
        <f>SUMIFS(Round_Results!$F:$F,Round_Results!$B:$B,D$1,Round_Results!$A:$A,"&lt;="&amp;$A11)</f>
        <v/>
      </c>
      <c r="E11" s="3">
        <f>SUMIFS(Round_Results!$F:$F,Round_Results!$B:$B,E$1,Round_Results!$A:$A,"&lt;="&amp;$A11)</f>
        <v/>
      </c>
      <c r="F11" s="3">
        <f>SUMIFS(Round_Results!$F:$F,Round_Results!$B:$B,F$1,Round_Results!$A:$A,"&lt;="&amp;$A11)</f>
        <v/>
      </c>
    </row>
    <row r="12">
      <c r="A12" t="n">
        <v>11</v>
      </c>
      <c r="B12" s="3">
        <f>SUMIFS(Round_Results!$F:$F,Round_Results!$B:$B,B$1,Round_Results!$A:$A,"&lt;="&amp;$A12)</f>
        <v/>
      </c>
      <c r="C12" s="3">
        <f>SUMIFS(Round_Results!$F:$F,Round_Results!$B:$B,C$1,Round_Results!$A:$A,"&lt;="&amp;$A12)</f>
        <v/>
      </c>
      <c r="D12" s="3">
        <f>SUMIFS(Round_Results!$F:$F,Round_Results!$B:$B,D$1,Round_Results!$A:$A,"&lt;="&amp;$A12)</f>
        <v/>
      </c>
      <c r="E12" s="3">
        <f>SUMIFS(Round_Results!$F:$F,Round_Results!$B:$B,E$1,Round_Results!$A:$A,"&lt;="&amp;$A12)</f>
        <v/>
      </c>
      <c r="F12" s="3">
        <f>SUMIFS(Round_Results!$F:$F,Round_Results!$B:$B,F$1,Round_Results!$A:$A,"&lt;="&amp;$A12)</f>
        <v/>
      </c>
    </row>
    <row r="13">
      <c r="A13" t="n">
        <v>12</v>
      </c>
      <c r="B13" s="3">
        <f>SUMIFS(Round_Results!$F:$F,Round_Results!$B:$B,B$1,Round_Results!$A:$A,"&lt;="&amp;$A13)</f>
        <v/>
      </c>
      <c r="C13" s="3">
        <f>SUMIFS(Round_Results!$F:$F,Round_Results!$B:$B,C$1,Round_Results!$A:$A,"&lt;="&amp;$A13)</f>
        <v/>
      </c>
      <c r="D13" s="3">
        <f>SUMIFS(Round_Results!$F:$F,Round_Results!$B:$B,D$1,Round_Results!$A:$A,"&lt;="&amp;$A13)</f>
        <v/>
      </c>
      <c r="E13" s="3">
        <f>SUMIFS(Round_Results!$F:$F,Round_Results!$B:$B,E$1,Round_Results!$A:$A,"&lt;="&amp;$A13)</f>
        <v/>
      </c>
      <c r="F13" s="3">
        <f>SUMIFS(Round_Results!$F:$F,Round_Results!$B:$B,F$1,Round_Results!$A:$A,"&lt;="&amp;$A13)</f>
        <v/>
      </c>
    </row>
    <row r="14">
      <c r="A14" t="n">
        <v>13</v>
      </c>
      <c r="B14" s="3">
        <f>SUMIFS(Round_Results!$F:$F,Round_Results!$B:$B,B$1,Round_Results!$A:$A,"&lt;="&amp;$A14)</f>
        <v/>
      </c>
      <c r="C14" s="3">
        <f>SUMIFS(Round_Results!$F:$F,Round_Results!$B:$B,C$1,Round_Results!$A:$A,"&lt;="&amp;$A14)</f>
        <v/>
      </c>
      <c r="D14" s="3">
        <f>SUMIFS(Round_Results!$F:$F,Round_Results!$B:$B,D$1,Round_Results!$A:$A,"&lt;="&amp;$A14)</f>
        <v/>
      </c>
      <c r="E14" s="3">
        <f>SUMIFS(Round_Results!$F:$F,Round_Results!$B:$B,E$1,Round_Results!$A:$A,"&lt;="&amp;$A14)</f>
        <v/>
      </c>
      <c r="F14" s="3">
        <f>SUMIFS(Round_Results!$F:$F,Round_Results!$B:$B,F$1,Round_Results!$A:$A,"&lt;="&amp;$A14)</f>
        <v/>
      </c>
    </row>
    <row r="15">
      <c r="A15" t="n">
        <v>14</v>
      </c>
      <c r="B15" s="3">
        <f>SUMIFS(Round_Results!$F:$F,Round_Results!$B:$B,B$1,Round_Results!$A:$A,"&lt;="&amp;$A15)</f>
        <v/>
      </c>
      <c r="C15" s="3">
        <f>SUMIFS(Round_Results!$F:$F,Round_Results!$B:$B,C$1,Round_Results!$A:$A,"&lt;="&amp;$A15)</f>
        <v/>
      </c>
      <c r="D15" s="3">
        <f>SUMIFS(Round_Results!$F:$F,Round_Results!$B:$B,D$1,Round_Results!$A:$A,"&lt;="&amp;$A15)</f>
        <v/>
      </c>
      <c r="E15" s="3">
        <f>SUMIFS(Round_Results!$F:$F,Round_Results!$B:$B,E$1,Round_Results!$A:$A,"&lt;="&amp;$A15)</f>
        <v/>
      </c>
      <c r="F15" s="3">
        <f>SUMIFS(Round_Results!$F:$F,Round_Results!$B:$B,F$1,Round_Results!$A:$A,"&lt;="&amp;$A15)</f>
        <v/>
      </c>
    </row>
    <row r="16">
      <c r="A16" t="n">
        <v>15</v>
      </c>
      <c r="B16" s="3">
        <f>SUMIFS(Round_Results!$F:$F,Round_Results!$B:$B,B$1,Round_Results!$A:$A,"&lt;="&amp;$A16)</f>
        <v/>
      </c>
      <c r="C16" s="3">
        <f>SUMIFS(Round_Results!$F:$F,Round_Results!$B:$B,C$1,Round_Results!$A:$A,"&lt;="&amp;$A16)</f>
        <v/>
      </c>
      <c r="D16" s="3">
        <f>SUMIFS(Round_Results!$F:$F,Round_Results!$B:$B,D$1,Round_Results!$A:$A,"&lt;="&amp;$A16)</f>
        <v/>
      </c>
      <c r="E16" s="3">
        <f>SUMIFS(Round_Results!$F:$F,Round_Results!$B:$B,E$1,Round_Results!$A:$A,"&lt;="&amp;$A16)</f>
        <v/>
      </c>
      <c r="F16" s="3">
        <f>SUMIFS(Round_Results!$F:$F,Round_Results!$B:$B,F$1,Round_Results!$A:$A,"&lt;="&amp;$A16)</f>
        <v/>
      </c>
    </row>
    <row r="17">
      <c r="A17" t="n">
        <v>16</v>
      </c>
      <c r="B17" s="3">
        <f>SUMIFS(Round_Results!$F:$F,Round_Results!$B:$B,B$1,Round_Results!$A:$A,"&lt;="&amp;$A17)</f>
        <v/>
      </c>
      <c r="C17" s="3">
        <f>SUMIFS(Round_Results!$F:$F,Round_Results!$B:$B,C$1,Round_Results!$A:$A,"&lt;="&amp;$A17)</f>
        <v/>
      </c>
      <c r="D17" s="3">
        <f>SUMIFS(Round_Results!$F:$F,Round_Results!$B:$B,D$1,Round_Results!$A:$A,"&lt;="&amp;$A17)</f>
        <v/>
      </c>
      <c r="E17" s="3">
        <f>SUMIFS(Round_Results!$F:$F,Round_Results!$B:$B,E$1,Round_Results!$A:$A,"&lt;="&amp;$A17)</f>
        <v/>
      </c>
      <c r="F17" s="3">
        <f>SUMIFS(Round_Results!$F:$F,Round_Results!$B:$B,F$1,Round_Results!$A:$A,"&lt;="&amp;$A17)</f>
        <v/>
      </c>
    </row>
    <row r="18">
      <c r="A18" t="n">
        <v>17</v>
      </c>
      <c r="B18" s="3">
        <f>SUMIFS(Round_Results!$F:$F,Round_Results!$B:$B,B$1,Round_Results!$A:$A,"&lt;="&amp;$A18)</f>
        <v/>
      </c>
      <c r="C18" s="3">
        <f>SUMIFS(Round_Results!$F:$F,Round_Results!$B:$B,C$1,Round_Results!$A:$A,"&lt;="&amp;$A18)</f>
        <v/>
      </c>
      <c r="D18" s="3">
        <f>SUMIFS(Round_Results!$F:$F,Round_Results!$B:$B,D$1,Round_Results!$A:$A,"&lt;="&amp;$A18)</f>
        <v/>
      </c>
      <c r="E18" s="3">
        <f>SUMIFS(Round_Results!$F:$F,Round_Results!$B:$B,E$1,Round_Results!$A:$A,"&lt;="&amp;$A18)</f>
        <v/>
      </c>
      <c r="F18" s="3">
        <f>SUMIFS(Round_Results!$F:$F,Round_Results!$B:$B,F$1,Round_Results!$A:$A,"&lt;="&amp;$A18)</f>
        <v/>
      </c>
    </row>
    <row r="19">
      <c r="A19" t="n">
        <v>18</v>
      </c>
      <c r="B19" s="3">
        <f>SUMIFS(Round_Results!$F:$F,Round_Results!$B:$B,B$1,Round_Results!$A:$A,"&lt;="&amp;$A19)</f>
        <v/>
      </c>
      <c r="C19" s="3">
        <f>SUMIFS(Round_Results!$F:$F,Round_Results!$B:$B,C$1,Round_Results!$A:$A,"&lt;="&amp;$A19)</f>
        <v/>
      </c>
      <c r="D19" s="3">
        <f>SUMIFS(Round_Results!$F:$F,Round_Results!$B:$B,D$1,Round_Results!$A:$A,"&lt;="&amp;$A19)</f>
        <v/>
      </c>
      <c r="E19" s="3">
        <f>SUMIFS(Round_Results!$F:$F,Round_Results!$B:$B,E$1,Round_Results!$A:$A,"&lt;="&amp;$A19)</f>
        <v/>
      </c>
      <c r="F19" s="3">
        <f>SUMIFS(Round_Results!$F:$F,Round_Results!$B:$B,F$1,Round_Results!$A:$A,"&lt;="&amp;$A19)</f>
        <v/>
      </c>
    </row>
    <row r="20">
      <c r="A20" t="n">
        <v>19</v>
      </c>
      <c r="B20" s="3">
        <f>SUMIFS(Round_Results!$F:$F,Round_Results!$B:$B,B$1,Round_Results!$A:$A,"&lt;="&amp;$A20)</f>
        <v/>
      </c>
      <c r="C20" s="3">
        <f>SUMIFS(Round_Results!$F:$F,Round_Results!$B:$B,C$1,Round_Results!$A:$A,"&lt;="&amp;$A20)</f>
        <v/>
      </c>
      <c r="D20" s="3">
        <f>SUMIFS(Round_Results!$F:$F,Round_Results!$B:$B,D$1,Round_Results!$A:$A,"&lt;="&amp;$A20)</f>
        <v/>
      </c>
      <c r="E20" s="3">
        <f>SUMIFS(Round_Results!$F:$F,Round_Results!$B:$B,E$1,Round_Results!$A:$A,"&lt;="&amp;$A20)</f>
        <v/>
      </c>
      <c r="F20" s="3">
        <f>SUMIFS(Round_Results!$F:$F,Round_Results!$B:$B,F$1,Round_Results!$A:$A,"&lt;="&amp;$A20)</f>
        <v/>
      </c>
    </row>
    <row r="21">
      <c r="A21" t="n">
        <v>20</v>
      </c>
      <c r="B21" s="3">
        <f>SUMIFS(Round_Results!$F:$F,Round_Results!$B:$B,B$1,Round_Results!$A:$A,"&lt;="&amp;$A21)</f>
        <v/>
      </c>
      <c r="C21" s="3">
        <f>SUMIFS(Round_Results!$F:$F,Round_Results!$B:$B,C$1,Round_Results!$A:$A,"&lt;="&amp;$A21)</f>
        <v/>
      </c>
      <c r="D21" s="3">
        <f>SUMIFS(Round_Results!$F:$F,Round_Results!$B:$B,D$1,Round_Results!$A:$A,"&lt;="&amp;$A21)</f>
        <v/>
      </c>
      <c r="E21" s="3">
        <f>SUMIFS(Round_Results!$F:$F,Round_Results!$B:$B,E$1,Round_Results!$A:$A,"&lt;="&amp;$A21)</f>
        <v/>
      </c>
      <c r="F21" s="3">
        <f>SUMIFS(Round_Results!$F:$F,Round_Results!$B:$B,F$1,Round_Results!$A:$A,"&lt;="&amp;$A21)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RRP_MS_KMEANS_VNS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RRP_GA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  <row r="6">
      <c r="A6" t="inlineStr">
        <is>
          <t>RRP_SA</t>
        </is>
      </c>
      <c r="B6" s="3">
        <f>SUMIFS(Round_Results!$U:$U,Round_Results!$B:$B,$A6)</f>
        <v/>
      </c>
      <c r="C6" s="3">
        <f>SUMIFS(Round_Results!$V:$V,Round_Results!$B:$B,$A6)</f>
        <v/>
      </c>
      <c r="D6" s="3">
        <f>SUMIFS(Round_Results!$W:$W,Round_Results!$B:$B,$A6)</f>
        <v/>
      </c>
      <c r="E6" s="3">
        <f>SUMIFS(Round_Results!$X:$X,Round_Results!$B:$B,$A6)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RRP_SA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  <c r="F2" s="3">
        <f>SUMIFS(Round_Results!$H:$H,Round_Results!$B:$B,F$1,Round_Results!$A:$A,$A2)</f>
        <v/>
      </c>
    </row>
    <row r="3">
      <c r="A3" t="n">
        <v>2</v>
      </c>
      <c r="B3" s="3">
        <f>SUMIFS(Round_Results!$H:$H,Round_Results!$B:$B,B$1,Round_Results!$A:$A,$A3)</f>
        <v/>
      </c>
      <c r="C3" s="3">
        <f>SUMIFS(Round_Results!$H:$H,Round_Results!$B:$B,C$1,Round_Results!$A:$A,$A3)</f>
        <v/>
      </c>
      <c r="D3" s="3">
        <f>SUMIFS(Round_Results!$H:$H,Round_Results!$B:$B,D$1,Round_Results!$A:$A,$A3)</f>
        <v/>
      </c>
      <c r="E3" s="3">
        <f>SUMIFS(Round_Results!$H:$H,Round_Results!$B:$B,E$1,Round_Results!$A:$A,$A3)</f>
        <v/>
      </c>
      <c r="F3" s="3">
        <f>SUMIFS(Round_Results!$H:$H,Round_Results!$B:$B,F$1,Round_Results!$A:$A,$A3)</f>
        <v/>
      </c>
    </row>
    <row r="4">
      <c r="A4" t="n">
        <v>3</v>
      </c>
      <c r="B4" s="3">
        <f>SUMIFS(Round_Results!$H:$H,Round_Results!$B:$B,B$1,Round_Results!$A:$A,$A4)</f>
        <v/>
      </c>
      <c r="C4" s="3">
        <f>SUMIFS(Round_Results!$H:$H,Round_Results!$B:$B,C$1,Round_Results!$A:$A,$A4)</f>
        <v/>
      </c>
      <c r="D4" s="3">
        <f>SUMIFS(Round_Results!$H:$H,Round_Results!$B:$B,D$1,Round_Results!$A:$A,$A4)</f>
        <v/>
      </c>
      <c r="E4" s="3">
        <f>SUMIFS(Round_Results!$H:$H,Round_Results!$B:$B,E$1,Round_Results!$A:$A,$A4)</f>
        <v/>
      </c>
      <c r="F4" s="3">
        <f>SUMIFS(Round_Results!$H:$H,Round_Results!$B:$B,F$1,Round_Results!$A:$A,$A4)</f>
        <v/>
      </c>
    </row>
    <row r="5">
      <c r="A5" t="n">
        <v>4</v>
      </c>
      <c r="B5" s="3">
        <f>SUMIFS(Round_Results!$H:$H,Round_Results!$B:$B,B$1,Round_Results!$A:$A,$A5)</f>
        <v/>
      </c>
      <c r="C5" s="3">
        <f>SUMIFS(Round_Results!$H:$H,Round_Results!$B:$B,C$1,Round_Results!$A:$A,$A5)</f>
        <v/>
      </c>
      <c r="D5" s="3">
        <f>SUMIFS(Round_Results!$H:$H,Round_Results!$B:$B,D$1,Round_Results!$A:$A,$A5)</f>
        <v/>
      </c>
      <c r="E5" s="3">
        <f>SUMIFS(Round_Results!$H:$H,Round_Results!$B:$B,E$1,Round_Results!$A:$A,$A5)</f>
        <v/>
      </c>
      <c r="F5" s="3">
        <f>SUMIFS(Round_Results!$H:$H,Round_Results!$B:$B,F$1,Round_Results!$A:$A,$A5)</f>
        <v/>
      </c>
    </row>
    <row r="6">
      <c r="A6" t="n">
        <v>5</v>
      </c>
      <c r="B6" s="3">
        <f>SUMIFS(Round_Results!$H:$H,Round_Results!$B:$B,B$1,Round_Results!$A:$A,$A6)</f>
        <v/>
      </c>
      <c r="C6" s="3">
        <f>SUMIFS(Round_Results!$H:$H,Round_Results!$B:$B,C$1,Round_Results!$A:$A,$A6)</f>
        <v/>
      </c>
      <c r="D6" s="3">
        <f>SUMIFS(Round_Results!$H:$H,Round_Results!$B:$B,D$1,Round_Results!$A:$A,$A6)</f>
        <v/>
      </c>
      <c r="E6" s="3">
        <f>SUMIFS(Round_Results!$H:$H,Round_Results!$B:$B,E$1,Round_Results!$A:$A,$A6)</f>
        <v/>
      </c>
      <c r="F6" s="3">
        <f>SUMIFS(Round_Results!$H:$H,Round_Results!$B:$B,F$1,Round_Results!$A:$A,$A6)</f>
        <v/>
      </c>
    </row>
    <row r="7">
      <c r="A7" t="n">
        <v>6</v>
      </c>
      <c r="B7" s="3">
        <f>SUMIFS(Round_Results!$H:$H,Round_Results!$B:$B,B$1,Round_Results!$A:$A,$A7)</f>
        <v/>
      </c>
      <c r="C7" s="3">
        <f>SUMIFS(Round_Results!$H:$H,Round_Results!$B:$B,C$1,Round_Results!$A:$A,$A7)</f>
        <v/>
      </c>
      <c r="D7" s="3">
        <f>SUMIFS(Round_Results!$H:$H,Round_Results!$B:$B,D$1,Round_Results!$A:$A,$A7)</f>
        <v/>
      </c>
      <c r="E7" s="3">
        <f>SUMIFS(Round_Results!$H:$H,Round_Results!$B:$B,E$1,Round_Results!$A:$A,$A7)</f>
        <v/>
      </c>
      <c r="F7" s="3">
        <f>SUMIFS(Round_Results!$H:$H,Round_Results!$B:$B,F$1,Round_Results!$A:$A,$A7)</f>
        <v/>
      </c>
    </row>
    <row r="8">
      <c r="A8" t="n">
        <v>7</v>
      </c>
      <c r="B8" s="3">
        <f>SUMIFS(Round_Results!$H:$H,Round_Results!$B:$B,B$1,Round_Results!$A:$A,$A8)</f>
        <v/>
      </c>
      <c r="C8" s="3">
        <f>SUMIFS(Round_Results!$H:$H,Round_Results!$B:$B,C$1,Round_Results!$A:$A,$A8)</f>
        <v/>
      </c>
      <c r="D8" s="3">
        <f>SUMIFS(Round_Results!$H:$H,Round_Results!$B:$B,D$1,Round_Results!$A:$A,$A8)</f>
        <v/>
      </c>
      <c r="E8" s="3">
        <f>SUMIFS(Round_Results!$H:$H,Round_Results!$B:$B,E$1,Round_Results!$A:$A,$A8)</f>
        <v/>
      </c>
      <c r="F8" s="3">
        <f>SUMIFS(Round_Results!$H:$H,Round_Results!$B:$B,F$1,Round_Results!$A:$A,$A8)</f>
        <v/>
      </c>
    </row>
    <row r="9">
      <c r="A9" t="n">
        <v>8</v>
      </c>
      <c r="B9" s="3">
        <f>SUMIFS(Round_Results!$H:$H,Round_Results!$B:$B,B$1,Round_Results!$A:$A,$A9)</f>
        <v/>
      </c>
      <c r="C9" s="3">
        <f>SUMIFS(Round_Results!$H:$H,Round_Results!$B:$B,C$1,Round_Results!$A:$A,$A9)</f>
        <v/>
      </c>
      <c r="D9" s="3">
        <f>SUMIFS(Round_Results!$H:$H,Round_Results!$B:$B,D$1,Round_Results!$A:$A,$A9)</f>
        <v/>
      </c>
      <c r="E9" s="3">
        <f>SUMIFS(Round_Results!$H:$H,Round_Results!$B:$B,E$1,Round_Results!$A:$A,$A9)</f>
        <v/>
      </c>
      <c r="F9" s="3">
        <f>SUMIFS(Round_Results!$H:$H,Round_Results!$B:$B,F$1,Round_Results!$A:$A,$A9)</f>
        <v/>
      </c>
    </row>
    <row r="10">
      <c r="A10" t="n">
        <v>9</v>
      </c>
      <c r="B10" s="3">
        <f>SUMIFS(Round_Results!$H:$H,Round_Results!$B:$B,B$1,Round_Results!$A:$A,$A10)</f>
        <v/>
      </c>
      <c r="C10" s="3">
        <f>SUMIFS(Round_Results!$H:$H,Round_Results!$B:$B,C$1,Round_Results!$A:$A,$A10)</f>
        <v/>
      </c>
      <c r="D10" s="3">
        <f>SUMIFS(Round_Results!$H:$H,Round_Results!$B:$B,D$1,Round_Results!$A:$A,$A10)</f>
        <v/>
      </c>
      <c r="E10" s="3">
        <f>SUMIFS(Round_Results!$H:$H,Round_Results!$B:$B,E$1,Round_Results!$A:$A,$A10)</f>
        <v/>
      </c>
      <c r="F10" s="3">
        <f>SUMIFS(Round_Results!$H:$H,Round_Results!$B:$B,F$1,Round_Results!$A:$A,$A10)</f>
        <v/>
      </c>
    </row>
    <row r="11">
      <c r="A11" t="n">
        <v>10</v>
      </c>
      <c r="B11" s="3">
        <f>SUMIFS(Round_Results!$H:$H,Round_Results!$B:$B,B$1,Round_Results!$A:$A,$A11)</f>
        <v/>
      </c>
      <c r="C11" s="3">
        <f>SUMIFS(Round_Results!$H:$H,Round_Results!$B:$B,C$1,Round_Results!$A:$A,$A11)</f>
        <v/>
      </c>
      <c r="D11" s="3">
        <f>SUMIFS(Round_Results!$H:$H,Round_Results!$B:$B,D$1,Round_Results!$A:$A,$A11)</f>
        <v/>
      </c>
      <c r="E11" s="3">
        <f>SUMIFS(Round_Results!$H:$H,Round_Results!$B:$B,E$1,Round_Results!$A:$A,$A11)</f>
        <v/>
      </c>
      <c r="F11" s="3">
        <f>SUMIFS(Round_Results!$H:$H,Round_Results!$B:$B,F$1,Round_Results!$A:$A,$A11)</f>
        <v/>
      </c>
    </row>
    <row r="12">
      <c r="A12" t="n">
        <v>11</v>
      </c>
      <c r="B12" s="3">
        <f>SUMIFS(Round_Results!$H:$H,Round_Results!$B:$B,B$1,Round_Results!$A:$A,$A12)</f>
        <v/>
      </c>
      <c r="C12" s="3">
        <f>SUMIFS(Round_Results!$H:$H,Round_Results!$B:$B,C$1,Round_Results!$A:$A,$A12)</f>
        <v/>
      </c>
      <c r="D12" s="3">
        <f>SUMIFS(Round_Results!$H:$H,Round_Results!$B:$B,D$1,Round_Results!$A:$A,$A12)</f>
        <v/>
      </c>
      <c r="E12" s="3">
        <f>SUMIFS(Round_Results!$H:$H,Round_Results!$B:$B,E$1,Round_Results!$A:$A,$A12)</f>
        <v/>
      </c>
      <c r="F12" s="3">
        <f>SUMIFS(Round_Results!$H:$H,Round_Results!$B:$B,F$1,Round_Results!$A:$A,$A12)</f>
        <v/>
      </c>
    </row>
    <row r="13">
      <c r="A13" t="n">
        <v>12</v>
      </c>
      <c r="B13" s="3">
        <f>SUMIFS(Round_Results!$H:$H,Round_Results!$B:$B,B$1,Round_Results!$A:$A,$A13)</f>
        <v/>
      </c>
      <c r="C13" s="3">
        <f>SUMIFS(Round_Results!$H:$H,Round_Results!$B:$B,C$1,Round_Results!$A:$A,$A13)</f>
        <v/>
      </c>
      <c r="D13" s="3">
        <f>SUMIFS(Round_Results!$H:$H,Round_Results!$B:$B,D$1,Round_Results!$A:$A,$A13)</f>
        <v/>
      </c>
      <c r="E13" s="3">
        <f>SUMIFS(Round_Results!$H:$H,Round_Results!$B:$B,E$1,Round_Results!$A:$A,$A13)</f>
        <v/>
      </c>
      <c r="F13" s="3">
        <f>SUMIFS(Round_Results!$H:$H,Round_Results!$B:$B,F$1,Round_Results!$A:$A,$A13)</f>
        <v/>
      </c>
    </row>
    <row r="14">
      <c r="A14" t="n">
        <v>13</v>
      </c>
      <c r="B14" s="3">
        <f>SUMIFS(Round_Results!$H:$H,Round_Results!$B:$B,B$1,Round_Results!$A:$A,$A14)</f>
        <v/>
      </c>
      <c r="C14" s="3">
        <f>SUMIFS(Round_Results!$H:$H,Round_Results!$B:$B,C$1,Round_Results!$A:$A,$A14)</f>
        <v/>
      </c>
      <c r="D14" s="3">
        <f>SUMIFS(Round_Results!$H:$H,Round_Results!$B:$B,D$1,Round_Results!$A:$A,$A14)</f>
        <v/>
      </c>
      <c r="E14" s="3">
        <f>SUMIFS(Round_Results!$H:$H,Round_Results!$B:$B,E$1,Round_Results!$A:$A,$A14)</f>
        <v/>
      </c>
      <c r="F14" s="3">
        <f>SUMIFS(Round_Results!$H:$H,Round_Results!$B:$B,F$1,Round_Results!$A:$A,$A14)</f>
        <v/>
      </c>
    </row>
    <row r="15">
      <c r="A15" t="n">
        <v>14</v>
      </c>
      <c r="B15" s="3">
        <f>SUMIFS(Round_Results!$H:$H,Round_Results!$B:$B,B$1,Round_Results!$A:$A,$A15)</f>
        <v/>
      </c>
      <c r="C15" s="3">
        <f>SUMIFS(Round_Results!$H:$H,Round_Results!$B:$B,C$1,Round_Results!$A:$A,$A15)</f>
        <v/>
      </c>
      <c r="D15" s="3">
        <f>SUMIFS(Round_Results!$H:$H,Round_Results!$B:$B,D$1,Round_Results!$A:$A,$A15)</f>
        <v/>
      </c>
      <c r="E15" s="3">
        <f>SUMIFS(Round_Results!$H:$H,Round_Results!$B:$B,E$1,Round_Results!$A:$A,$A15)</f>
        <v/>
      </c>
      <c r="F15" s="3">
        <f>SUMIFS(Round_Results!$H:$H,Round_Results!$B:$B,F$1,Round_Results!$A:$A,$A15)</f>
        <v/>
      </c>
    </row>
    <row r="16">
      <c r="A16" t="n">
        <v>15</v>
      </c>
      <c r="B16" s="3">
        <f>SUMIFS(Round_Results!$H:$H,Round_Results!$B:$B,B$1,Round_Results!$A:$A,$A16)</f>
        <v/>
      </c>
      <c r="C16" s="3">
        <f>SUMIFS(Round_Results!$H:$H,Round_Results!$B:$B,C$1,Round_Results!$A:$A,$A16)</f>
        <v/>
      </c>
      <c r="D16" s="3">
        <f>SUMIFS(Round_Results!$H:$H,Round_Results!$B:$B,D$1,Round_Results!$A:$A,$A16)</f>
        <v/>
      </c>
      <c r="E16" s="3">
        <f>SUMIFS(Round_Results!$H:$H,Round_Results!$B:$B,E$1,Round_Results!$A:$A,$A16)</f>
        <v/>
      </c>
      <c r="F16" s="3">
        <f>SUMIFS(Round_Results!$H:$H,Round_Results!$B:$B,F$1,Round_Results!$A:$A,$A16)</f>
        <v/>
      </c>
    </row>
    <row r="17">
      <c r="A17" t="n">
        <v>16</v>
      </c>
      <c r="B17" s="3">
        <f>SUMIFS(Round_Results!$H:$H,Round_Results!$B:$B,B$1,Round_Results!$A:$A,$A17)</f>
        <v/>
      </c>
      <c r="C17" s="3">
        <f>SUMIFS(Round_Results!$H:$H,Round_Results!$B:$B,C$1,Round_Results!$A:$A,$A17)</f>
        <v/>
      </c>
      <c r="D17" s="3">
        <f>SUMIFS(Round_Results!$H:$H,Round_Results!$B:$B,D$1,Round_Results!$A:$A,$A17)</f>
        <v/>
      </c>
      <c r="E17" s="3">
        <f>SUMIFS(Round_Results!$H:$H,Round_Results!$B:$B,E$1,Round_Results!$A:$A,$A17)</f>
        <v/>
      </c>
      <c r="F17" s="3">
        <f>SUMIFS(Round_Results!$H:$H,Round_Results!$B:$B,F$1,Round_Results!$A:$A,$A17)</f>
        <v/>
      </c>
    </row>
    <row r="18">
      <c r="A18" t="n">
        <v>17</v>
      </c>
      <c r="B18" s="3">
        <f>SUMIFS(Round_Results!$H:$H,Round_Results!$B:$B,B$1,Round_Results!$A:$A,$A18)</f>
        <v/>
      </c>
      <c r="C18" s="3">
        <f>SUMIFS(Round_Results!$H:$H,Round_Results!$B:$B,C$1,Round_Results!$A:$A,$A18)</f>
        <v/>
      </c>
      <c r="D18" s="3">
        <f>SUMIFS(Round_Results!$H:$H,Round_Results!$B:$B,D$1,Round_Results!$A:$A,$A18)</f>
        <v/>
      </c>
      <c r="E18" s="3">
        <f>SUMIFS(Round_Results!$H:$H,Round_Results!$B:$B,E$1,Round_Results!$A:$A,$A18)</f>
        <v/>
      </c>
      <c r="F18" s="3">
        <f>SUMIFS(Round_Results!$H:$H,Round_Results!$B:$B,F$1,Round_Results!$A:$A,$A18)</f>
        <v/>
      </c>
    </row>
    <row r="19">
      <c r="A19" t="n">
        <v>18</v>
      </c>
      <c r="B19" s="3">
        <f>SUMIFS(Round_Results!$H:$H,Round_Results!$B:$B,B$1,Round_Results!$A:$A,$A19)</f>
        <v/>
      </c>
      <c r="C19" s="3">
        <f>SUMIFS(Round_Results!$H:$H,Round_Results!$B:$B,C$1,Round_Results!$A:$A,$A19)</f>
        <v/>
      </c>
      <c r="D19" s="3">
        <f>SUMIFS(Round_Results!$H:$H,Round_Results!$B:$B,D$1,Round_Results!$A:$A,$A19)</f>
        <v/>
      </c>
      <c r="E19" s="3">
        <f>SUMIFS(Round_Results!$H:$H,Round_Results!$B:$B,E$1,Round_Results!$A:$A,$A19)</f>
        <v/>
      </c>
      <c r="F19" s="3">
        <f>SUMIFS(Round_Results!$H:$H,Round_Results!$B:$B,F$1,Round_Results!$A:$A,$A19)</f>
        <v/>
      </c>
    </row>
    <row r="20">
      <c r="A20" t="n">
        <v>19</v>
      </c>
      <c r="B20" s="3">
        <f>SUMIFS(Round_Results!$H:$H,Round_Results!$B:$B,B$1,Round_Results!$A:$A,$A20)</f>
        <v/>
      </c>
      <c r="C20" s="3">
        <f>SUMIFS(Round_Results!$H:$H,Round_Results!$B:$B,C$1,Round_Results!$A:$A,$A20)</f>
        <v/>
      </c>
      <c r="D20" s="3">
        <f>SUMIFS(Round_Results!$H:$H,Round_Results!$B:$B,D$1,Round_Results!$A:$A,$A20)</f>
        <v/>
      </c>
      <c r="E20" s="3">
        <f>SUMIFS(Round_Results!$H:$H,Round_Results!$B:$B,E$1,Round_Results!$A:$A,$A20)</f>
        <v/>
      </c>
      <c r="F20" s="3">
        <f>SUMIFS(Round_Results!$H:$H,Round_Results!$B:$B,F$1,Round_Results!$A:$A,$A20)</f>
        <v/>
      </c>
    </row>
    <row r="21">
      <c r="A21" t="n">
        <v>20</v>
      </c>
      <c r="B21" s="3">
        <f>SUMIFS(Round_Results!$H:$H,Round_Results!$B:$B,B$1,Round_Results!$A:$A,$A21)</f>
        <v/>
      </c>
      <c r="C21" s="3">
        <f>SUMIFS(Round_Results!$H:$H,Round_Results!$B:$B,C$1,Round_Results!$A:$A,$A21)</f>
        <v/>
      </c>
      <c r="D21" s="3">
        <f>SUMIFS(Round_Results!$H:$H,Round_Results!$B:$B,D$1,Round_Results!$A:$A,$A21)</f>
        <v/>
      </c>
      <c r="E21" s="3">
        <f>SUMIFS(Round_Results!$H:$H,Round_Results!$B:$B,E$1,Round_Results!$A:$A,$A21)</f>
        <v/>
      </c>
      <c r="F21" s="3">
        <f>SUMIFS(Round_Results!$H:$H,Round_Results!$B:$B,F$1,Round_Results!$A:$A,$A21)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2026-05-19T15:39:28Z</dcterms:created>
  <dcterms:modified xsi:type="dcterms:W3CDTF">2026-05-19T15:39:28Z</dcterms:modified>
</cp:coreProperties>
</file>