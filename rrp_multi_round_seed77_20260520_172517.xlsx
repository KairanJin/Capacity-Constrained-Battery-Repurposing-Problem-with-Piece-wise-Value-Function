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und_Results" sheetId="2" state="visible" r:id="rId2"/>
    <sheet name="Method_Summary" sheetId="3" state="visible" r:id="rId3"/>
    <sheet name="ChartData_CumReward" sheetId="4" state="visible" r:id="rId4"/>
    <sheet name="ChartData_TierCells" sheetId="5" state="visible" r:id="rId5"/>
    <sheet name="ChartData_Runtime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五种算法每轮累计收益对比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'ChartData_CumReward'!B1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'ChartData_CumReward'!$B$2:$B$11</f>
            </numRef>
          </val>
        </ser>
        <ser>
          <idx val="1"/>
          <order val="1"/>
          <tx>
            <strRef>
              <f>'ChartData_CumReward'!C1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'ChartData_CumReward'!$C$2:$C$11</f>
            </numRef>
          </val>
        </ser>
        <ser>
          <idx val="2"/>
          <order val="2"/>
          <tx>
            <strRef>
              <f>'ChartData_CumReward'!D1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'ChartData_CumReward'!$D$2:$D$11</f>
            </numRef>
          </val>
        </ser>
        <ser>
          <idx val="3"/>
          <order val="3"/>
          <tx>
            <strRef>
              <f>'ChartData_CumReward'!E1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'ChartData_CumReward'!$E$2:$E$11</f>
            </numRef>
          </val>
        </ser>
        <ser>
          <idx val="4"/>
          <order val="4"/>
          <tx>
            <strRef>
              <f>'ChartData_CumReward'!F1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五种算法在20轮中的各类电芯重组总数量对比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'ChartData_TierCells'!B1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'ChartData_TierCells'!$B$2:$B$6</f>
            </numRef>
          </val>
        </ser>
        <ser>
          <idx val="1"/>
          <order val="1"/>
          <tx>
            <strRef>
              <f>'ChartData_TierCells'!C1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'ChartData_TierCells'!$C$2:$C$6</f>
            </numRef>
          </val>
        </ser>
        <ser>
          <idx val="2"/>
          <order val="2"/>
          <tx>
            <strRef>
              <f>'ChartData_TierCells'!D1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'ChartData_TierCells'!$D$2:$D$6</f>
            </numRef>
          </val>
        </ser>
        <ser>
          <idx val="3"/>
          <order val="3"/>
          <tx>
            <strRef>
              <f>'ChartData_TierCells'!E1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总重组电芯数量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算法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五种算法每轮运行时间对比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'ChartData_Runtime'!B1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'ChartData_Runtime'!$B$2:$B$11</f>
            </numRef>
          </val>
        </ser>
        <ser>
          <idx val="1"/>
          <order val="1"/>
          <tx>
            <strRef>
              <f>'ChartData_Runtime'!C1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'ChartData_Runtime'!$C$2:$C$11</f>
            </numRef>
          </val>
        </ser>
        <ser>
          <idx val="2"/>
          <order val="2"/>
          <tx>
            <strRef>
              <f>'ChartData_Runtime'!D1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'ChartData_Runtime'!$D$2:$D$11</f>
            </numRef>
          </val>
        </ser>
        <ser>
          <idx val="3"/>
          <order val="3"/>
          <tx>
            <strRef>
              <f>'ChartData_Runtime'!E1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'ChartData_Runtime'!$E$2:$E$11</f>
            </numRef>
          </val>
        </ser>
        <ser>
          <idx val="4"/>
          <order val="4"/>
          <tx>
            <strRef>
              <f>'ChartData_Runtime'!F1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运行时间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0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1" t="inlineStr">
        <is>
          <t>20轮重组实验 Excel 模板</t>
        </is>
      </c>
    </row>
    <row r="3">
      <c r="A3" t="inlineStr">
        <is>
          <t>说明：</t>
        </is>
      </c>
    </row>
    <row r="4">
      <c r="A4" t="inlineStr">
        <is>
          <t>1. Round_Results 为逐轮明细表，后续可直接按相同列顺序粘贴数据。</t>
        </is>
      </c>
    </row>
    <row r="5">
      <c r="A5" t="inlineStr">
        <is>
          <t>2. ChartData_CumReward：五种算法每轮累计收益绘图数据。</t>
        </is>
      </c>
    </row>
    <row r="6">
      <c r="A6" t="inlineStr">
        <is>
          <t>3. ChartData_TierCells：五种算法20轮中各类电芯重组总数量绘图数据。</t>
        </is>
      </c>
    </row>
    <row r="7">
      <c r="A7" t="inlineStr">
        <is>
          <t>4. ChartData_Runtime：五种算法每轮运行时间绘图数据。</t>
        </is>
      </c>
    </row>
    <row r="8">
      <c r="A8" t="inlineStr">
        <is>
          <t>5. Charts 工作表内已预置三张图。</t>
        </is>
      </c>
    </row>
    <row r="10">
      <c r="A10" t="inlineStr">
        <is>
          <t>方法列表：</t>
        </is>
      </c>
    </row>
    <row r="11">
      <c r="A11" t="inlineStr">
        <is>
          <t>RRP_KMEANS</t>
        </is>
      </c>
      <c r="B11" t="inlineStr">
        <is>
          <t>KMeans</t>
        </is>
      </c>
    </row>
    <row r="12">
      <c r="A12" t="inlineStr">
        <is>
          <t>RRP_KMEANS_VNS</t>
        </is>
      </c>
      <c r="B12" t="inlineStr">
        <is>
          <t>KMeans_VNS</t>
        </is>
      </c>
    </row>
    <row r="13">
      <c r="A13" t="inlineStr">
        <is>
          <t>RRP_MS_KMEANS_VNS</t>
        </is>
      </c>
      <c r="B13" t="inlineStr">
        <is>
          <t>MS_KMeans_VNS</t>
        </is>
      </c>
    </row>
    <row r="14">
      <c r="A14" t="inlineStr">
        <is>
          <t>RRP_GA</t>
        </is>
      </c>
      <c r="B14" t="inlineStr">
        <is>
          <t>GA</t>
        </is>
      </c>
    </row>
    <row r="15">
      <c r="A15" t="inlineStr">
        <is>
          <t>RRP_SA</t>
        </is>
      </c>
      <c r="B15" t="inlineStr">
        <is>
          <t>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8" customWidth="1" min="25" max="25"/>
    <col width="12" customWidth="1" min="26" max="26"/>
    <col width="12" customWidth="1" min="27" max="27"/>
    <col width="18" customWidth="1" min="28" max="28"/>
  </cols>
  <sheetData>
    <row r="1">
      <c r="A1" s="2" t="inlineStr">
        <is>
          <t>round</t>
        </is>
      </c>
      <c r="B1" s="2" t="inlineStr">
        <is>
          <t>method</t>
        </is>
      </c>
      <c r="C1" s="2" t="inlineStr">
        <is>
          <t>method_label</t>
        </is>
      </c>
      <c r="D1" s="2" t="inlineStr">
        <is>
          <t>new_cells</t>
        </is>
      </c>
      <c r="E1" s="2" t="inlineStr">
        <is>
          <t>pool_before</t>
        </is>
      </c>
      <c r="F1" s="2" t="inlineStr">
        <is>
          <t>reward</t>
        </is>
      </c>
      <c r="G1" s="2" t="inlineStr">
        <is>
          <t>cumulative_reward</t>
        </is>
      </c>
      <c r="H1" s="2" t="inlineStr">
        <is>
          <t>runtime</t>
        </is>
      </c>
      <c r="I1" s="2" t="inlineStr">
        <is>
          <t>n_packs</t>
        </is>
      </c>
      <c r="J1" s="2" t="inlineStr">
        <is>
          <t>used_cells</t>
        </is>
      </c>
      <c r="K1" s="2" t="inlineStr">
        <is>
          <t>leftover_cells</t>
        </is>
      </c>
      <c r="L1" s="2" t="inlineStr">
        <is>
          <t>utilization_rate</t>
        </is>
      </c>
      <c r="M1" s="2" t="inlineStr">
        <is>
          <t>avg_delta</t>
        </is>
      </c>
      <c r="N1" s="2" t="inlineStr">
        <is>
          <t>avg_phi</t>
        </is>
      </c>
      <c r="O1" s="2" t="inlineStr">
        <is>
          <t>reward_per_pack</t>
        </is>
      </c>
      <c r="P1" s="2" t="inlineStr">
        <is>
          <t>positive_pack_ratio</t>
        </is>
      </c>
      <c r="Q1" s="2" t="inlineStr">
        <is>
          <t>P1_packs</t>
        </is>
      </c>
      <c r="R1" s="2" t="inlineStr">
        <is>
          <t>P2_packs</t>
        </is>
      </c>
      <c r="S1" s="2" t="inlineStr">
        <is>
          <t>P3_packs</t>
        </is>
      </c>
      <c r="T1" s="2" t="inlineStr">
        <is>
          <t>P0_packs</t>
        </is>
      </c>
      <c r="U1" s="2" t="inlineStr">
        <is>
          <t>P1_cells</t>
        </is>
      </c>
      <c r="V1" s="2" t="inlineStr">
        <is>
          <t>P2_cells</t>
        </is>
      </c>
      <c r="W1" s="2" t="inlineStr">
        <is>
          <t>P3_cells</t>
        </is>
      </c>
      <c r="X1" s="2" t="inlineStr">
        <is>
          <t>P0_cells</t>
        </is>
      </c>
      <c r="Y1" s="2" t="inlineStr">
        <is>
          <t>tier_distribution</t>
        </is>
      </c>
      <c r="Z1" s="2" t="inlineStr">
        <is>
          <t>n_columns</t>
        </is>
      </c>
      <c r="AA1" s="2" t="inlineStr">
        <is>
          <t>gurobi_gap</t>
        </is>
      </c>
      <c r="AB1" s="2" t="inlineStr">
        <is>
          <t>n_feasible_groups</t>
        </is>
      </c>
    </row>
    <row r="2">
      <c r="A2" t="n">
        <v>1</v>
      </c>
      <c r="B2" t="inlineStr">
        <is>
          <t>RRP_KMEANS</t>
        </is>
      </c>
      <c r="C2" t="inlineStr">
        <is>
          <t>KMeans</t>
        </is>
      </c>
      <c r="D2" t="n">
        <v>500</v>
      </c>
      <c r="E2" t="n">
        <v>500</v>
      </c>
      <c r="F2" s="3" t="n">
        <v>286.8188156911134</v>
      </c>
      <c r="G2" s="3" t="n">
        <v>286.8188156911134</v>
      </c>
      <c r="H2" s="3" t="n">
        <v>0.1378373999905307</v>
      </c>
      <c r="I2" t="n">
        <v>59</v>
      </c>
      <c r="J2" t="n">
        <v>472</v>
      </c>
      <c r="K2" t="n">
        <v>28</v>
      </c>
      <c r="L2" s="4" t="n">
        <v>0.944</v>
      </c>
      <c r="M2" s="3" t="n">
        <v>0.06141840979206749</v>
      </c>
      <c r="N2" s="3" t="n">
        <v>0.03601368257345339</v>
      </c>
      <c r="O2" s="3" t="n">
        <v>4.861335859171414</v>
      </c>
      <c r="P2" s="4" t="n">
        <v>0.7966101694915254</v>
      </c>
      <c r="Q2" t="n">
        <v>14</v>
      </c>
      <c r="R2" t="n">
        <v>16</v>
      </c>
      <c r="S2" t="n">
        <v>17</v>
      </c>
      <c r="T2" t="n">
        <v>12</v>
      </c>
      <c r="U2" t="n">
        <v>112</v>
      </c>
      <c r="V2" t="n">
        <v>128</v>
      </c>
      <c r="W2" t="n">
        <v>136</v>
      </c>
      <c r="X2" t="n">
        <v>96</v>
      </c>
      <c r="Y2" t="inlineStr">
        <is>
          <t>P1:14, P2:16, P3:17, P0:12</t>
        </is>
      </c>
      <c r="Z2" t="n">
        <v/>
      </c>
      <c r="AA2" t="n">
        <v/>
      </c>
      <c r="AB2" t="n">
        <v/>
      </c>
    </row>
    <row r="3">
      <c r="A3" t="n">
        <v>1</v>
      </c>
      <c r="B3" t="inlineStr">
        <is>
          <t>RRP_KMEANS_VNS</t>
        </is>
      </c>
      <c r="C3" t="inlineStr">
        <is>
          <t>KMeans_VNS</t>
        </is>
      </c>
      <c r="D3" t="n">
        <v>500</v>
      </c>
      <c r="E3" t="n">
        <v>500</v>
      </c>
      <c r="F3" s="3" t="n">
        <v>329.6837828228815</v>
      </c>
      <c r="G3" s="3" t="n">
        <v>329.6837828228815</v>
      </c>
      <c r="H3" s="3" t="n">
        <v>0.6501459999999497</v>
      </c>
      <c r="I3" t="n">
        <v>62</v>
      </c>
      <c r="J3" t="n">
        <v>496</v>
      </c>
      <c r="K3" t="n">
        <v>4</v>
      </c>
      <c r="L3" s="4" t="n">
        <v>0.992</v>
      </c>
      <c r="M3" s="3" t="n">
        <v>0.102005541005971</v>
      </c>
      <c r="N3" s="3" t="n">
        <v>0.04073930903689968</v>
      </c>
      <c r="O3" s="3" t="n">
        <v>5.317480368110991</v>
      </c>
      <c r="P3" s="4" t="n">
        <v>0.8387096774193549</v>
      </c>
      <c r="Q3" t="n">
        <v>18</v>
      </c>
      <c r="R3" t="n">
        <v>16</v>
      </c>
      <c r="S3" t="n">
        <v>18</v>
      </c>
      <c r="T3" t="n">
        <v>10</v>
      </c>
      <c r="U3" t="n">
        <v>144</v>
      </c>
      <c r="V3" t="n">
        <v>128</v>
      </c>
      <c r="W3" t="n">
        <v>144</v>
      </c>
      <c r="X3" t="n">
        <v>80</v>
      </c>
      <c r="Y3" t="inlineStr">
        <is>
          <t>P1:18, P2:16, P3:18, P0:10</t>
        </is>
      </c>
      <c r="Z3" t="n">
        <v/>
      </c>
      <c r="AA3" t="n">
        <v/>
      </c>
      <c r="AB3" t="n">
        <v/>
      </c>
    </row>
    <row r="4">
      <c r="A4" t="n">
        <v>1</v>
      </c>
      <c r="B4" t="inlineStr">
        <is>
          <t>RRP_MS_KMEANS_VNS</t>
        </is>
      </c>
      <c r="C4" t="inlineStr">
        <is>
          <t>MS_KMeans_VNS</t>
        </is>
      </c>
      <c r="D4" t="n">
        <v>500</v>
      </c>
      <c r="E4" t="n">
        <v>500</v>
      </c>
      <c r="F4" s="3" t="n">
        <v>342.4150544000087</v>
      </c>
      <c r="G4" s="3" t="n">
        <v>342.4150544000087</v>
      </c>
      <c r="H4" s="3" t="n">
        <v>4.290306199996849</v>
      </c>
      <c r="I4" t="n">
        <v>61</v>
      </c>
      <c r="J4" t="n">
        <v>488</v>
      </c>
      <c r="K4" t="n">
        <v>12</v>
      </c>
      <c r="L4" s="4" t="n">
        <v>0.976</v>
      </c>
      <c r="M4" s="3" t="n">
        <v>0.1917854426200992</v>
      </c>
      <c r="N4" s="3" t="n">
        <v>0.05649512806501398</v>
      </c>
      <c r="O4" s="3" t="n">
        <v>5.613361547541126</v>
      </c>
      <c r="P4" s="4" t="n">
        <v>0.8524590163934426</v>
      </c>
      <c r="Q4" t="n">
        <v>19</v>
      </c>
      <c r="R4" t="n">
        <v>18</v>
      </c>
      <c r="S4" t="n">
        <v>15</v>
      </c>
      <c r="T4" t="n">
        <v>9</v>
      </c>
      <c r="U4" t="n">
        <v>152</v>
      </c>
      <c r="V4" t="n">
        <v>144</v>
      </c>
      <c r="W4" t="n">
        <v>120</v>
      </c>
      <c r="X4" t="n">
        <v>72</v>
      </c>
      <c r="Y4" t="inlineStr">
        <is>
          <t>P1:19, P2:18, P3:15, P0:9</t>
        </is>
      </c>
      <c r="Z4" t="n">
        <v/>
      </c>
      <c r="AA4" t="n">
        <v/>
      </c>
      <c r="AB4" t="n">
        <v/>
      </c>
    </row>
    <row r="5">
      <c r="A5" t="n">
        <v>1</v>
      </c>
      <c r="B5" t="inlineStr">
        <is>
          <t>RRP_GA</t>
        </is>
      </c>
      <c r="C5" t="inlineStr">
        <is>
          <t>GA</t>
        </is>
      </c>
      <c r="D5" t="n">
        <v>500</v>
      </c>
      <c r="E5" t="n">
        <v>500</v>
      </c>
      <c r="F5" s="3" t="n">
        <v>323.713168347752</v>
      </c>
      <c r="G5" s="3" t="n">
        <v>323.713168347752</v>
      </c>
      <c r="H5" s="3" t="n">
        <v>3.463199200006784</v>
      </c>
      <c r="I5" t="n">
        <v>61</v>
      </c>
      <c r="J5" t="n">
        <v>488</v>
      </c>
      <c r="K5" t="n">
        <v>12</v>
      </c>
      <c r="L5" s="4" t="n">
        <v>0.976</v>
      </c>
      <c r="M5" s="3" t="n">
        <v>0.09404316467146302</v>
      </c>
      <c r="N5" s="3" t="n">
        <v>0.02559312510768151</v>
      </c>
      <c r="O5" s="3" t="n">
        <v>5.306773251602491</v>
      </c>
      <c r="P5" s="4" t="n">
        <v>0.819672131147541</v>
      </c>
      <c r="Q5" t="n">
        <v>18</v>
      </c>
      <c r="R5" t="n">
        <v>16</v>
      </c>
      <c r="S5" t="n">
        <v>16</v>
      </c>
      <c r="T5" t="n">
        <v>11</v>
      </c>
      <c r="U5" t="n">
        <v>144</v>
      </c>
      <c r="V5" t="n">
        <v>128</v>
      </c>
      <c r="W5" t="n">
        <v>128</v>
      </c>
      <c r="X5" t="n">
        <v>88</v>
      </c>
      <c r="Y5" t="inlineStr">
        <is>
          <t>P1:18, P2:16, P3:16, P0:11</t>
        </is>
      </c>
      <c r="Z5" t="n">
        <v/>
      </c>
      <c r="AA5" t="n">
        <v/>
      </c>
      <c r="AB5" t="n">
        <v/>
      </c>
    </row>
    <row r="6">
      <c r="A6" t="n">
        <v>1</v>
      </c>
      <c r="B6" t="inlineStr">
        <is>
          <t>RRP_SA</t>
        </is>
      </c>
      <c r="C6" t="inlineStr">
        <is>
          <t>SA</t>
        </is>
      </c>
      <c r="D6" t="n">
        <v>500</v>
      </c>
      <c r="E6" t="n">
        <v>500</v>
      </c>
      <c r="F6" s="3" t="n">
        <v>366.4517286538508</v>
      </c>
      <c r="G6" s="3" t="n">
        <v>366.4517286538508</v>
      </c>
      <c r="H6" s="3" t="n">
        <v>53.67498290000367</v>
      </c>
      <c r="I6" t="n">
        <v>62</v>
      </c>
      <c r="J6" t="n">
        <v>496</v>
      </c>
      <c r="K6" t="n">
        <v>4</v>
      </c>
      <c r="L6" s="4" t="n">
        <v>0.992</v>
      </c>
      <c r="M6" s="3" t="n">
        <v>0.1768617245642658</v>
      </c>
      <c r="N6" s="3" t="n">
        <v>0.0387657434660147</v>
      </c>
      <c r="O6" s="3" t="n">
        <v>5.910511752481464</v>
      </c>
      <c r="P6" s="4" t="n">
        <v>0.8870967741935484</v>
      </c>
      <c r="Q6" t="n">
        <v>19</v>
      </c>
      <c r="R6" t="n">
        <v>23</v>
      </c>
      <c r="S6" t="n">
        <v>13</v>
      </c>
      <c r="T6" t="n">
        <v>7</v>
      </c>
      <c r="U6" t="n">
        <v>152</v>
      </c>
      <c r="V6" t="n">
        <v>184</v>
      </c>
      <c r="W6" t="n">
        <v>104</v>
      </c>
      <c r="X6" t="n">
        <v>56</v>
      </c>
      <c r="Y6" t="inlineStr">
        <is>
          <t>P1:19, P2:23, P3:13, P0:7</t>
        </is>
      </c>
      <c r="Z6" t="n">
        <v/>
      </c>
      <c r="AA6" t="n">
        <v/>
      </c>
      <c r="AB6" t="n">
        <v/>
      </c>
    </row>
    <row r="7">
      <c r="A7" t="n">
        <v>2</v>
      </c>
      <c r="B7" t="inlineStr">
        <is>
          <t>RRP_KMEANS</t>
        </is>
      </c>
      <c r="C7" t="inlineStr">
        <is>
          <t>KMeans</t>
        </is>
      </c>
      <c r="D7" t="n">
        <v>500</v>
      </c>
      <c r="E7" t="n">
        <v>528</v>
      </c>
      <c r="F7" s="3" t="n">
        <v>308.6604552278499</v>
      </c>
      <c r="G7" s="3" t="n">
        <v>595.4792709189633</v>
      </c>
      <c r="H7" s="3" t="n">
        <v>0.09274600000935607</v>
      </c>
      <c r="I7" t="n">
        <v>65</v>
      </c>
      <c r="J7" t="n">
        <v>520</v>
      </c>
      <c r="K7" t="n">
        <v>8</v>
      </c>
      <c r="L7" s="4" t="n">
        <v>0.9848484848484849</v>
      </c>
      <c r="M7" s="3" t="n">
        <v>0.1044753145077456</v>
      </c>
      <c r="N7" s="3" t="n">
        <v>-0.02568510757040799</v>
      </c>
      <c r="O7" s="3" t="n">
        <v>4.748622388120767</v>
      </c>
      <c r="P7" s="4" t="n">
        <v>0.7692307692307693</v>
      </c>
      <c r="Q7" t="n">
        <v>15</v>
      </c>
      <c r="R7" t="n">
        <v>18</v>
      </c>
      <c r="S7" t="n">
        <v>17</v>
      </c>
      <c r="T7" t="n">
        <v>15</v>
      </c>
      <c r="U7" t="n">
        <v>120</v>
      </c>
      <c r="V7" t="n">
        <v>144</v>
      </c>
      <c r="W7" t="n">
        <v>136</v>
      </c>
      <c r="X7" t="n">
        <v>120</v>
      </c>
      <c r="Y7" t="inlineStr">
        <is>
          <t>P1:15, P2:18, P3:17, P0:15</t>
        </is>
      </c>
      <c r="Z7" t="n">
        <v/>
      </c>
      <c r="AA7" t="n">
        <v/>
      </c>
      <c r="AB7" t="n">
        <v/>
      </c>
    </row>
    <row r="8">
      <c r="A8" t="n">
        <v>2</v>
      </c>
      <c r="B8" t="inlineStr">
        <is>
          <t>RRP_KMEANS_VNS</t>
        </is>
      </c>
      <c r="C8" t="inlineStr">
        <is>
          <t>KMeans_VNS</t>
        </is>
      </c>
      <c r="D8" t="n">
        <v>500</v>
      </c>
      <c r="E8" t="n">
        <v>504</v>
      </c>
      <c r="F8" s="3" t="n">
        <v>313.6520131322247</v>
      </c>
      <c r="G8" s="3" t="n">
        <v>643.3357959551062</v>
      </c>
      <c r="H8" s="3" t="n">
        <v>0.8484449000097811</v>
      </c>
      <c r="I8" t="n">
        <v>63</v>
      </c>
      <c r="J8" t="n">
        <v>504</v>
      </c>
      <c r="K8" t="n">
        <v>0</v>
      </c>
      <c r="L8" s="4" t="n">
        <v>1</v>
      </c>
      <c r="M8" s="3" t="n">
        <v>0.1104720215159836</v>
      </c>
      <c r="N8" s="3" t="n">
        <v>-0.04018099531049479</v>
      </c>
      <c r="O8" s="3" t="n">
        <v>4.978603383051185</v>
      </c>
      <c r="P8" s="4" t="n">
        <v>0.8253968253968254</v>
      </c>
      <c r="Q8" t="n">
        <v>14</v>
      </c>
      <c r="R8" t="n">
        <v>20</v>
      </c>
      <c r="S8" t="n">
        <v>18</v>
      </c>
      <c r="T8" t="n">
        <v>11</v>
      </c>
      <c r="U8" t="n">
        <v>112</v>
      </c>
      <c r="V8" t="n">
        <v>160</v>
      </c>
      <c r="W8" t="n">
        <v>144</v>
      </c>
      <c r="X8" t="n">
        <v>88</v>
      </c>
      <c r="Y8" t="inlineStr">
        <is>
          <t>P1:14, P2:20, P3:18, P0:11</t>
        </is>
      </c>
      <c r="Z8" t="n">
        <v/>
      </c>
      <c r="AA8" t="n">
        <v/>
      </c>
      <c r="AB8" t="n">
        <v/>
      </c>
    </row>
    <row r="9">
      <c r="A9" t="n">
        <v>2</v>
      </c>
      <c r="B9" t="inlineStr">
        <is>
          <t>RRP_MS_KMEANS_VNS</t>
        </is>
      </c>
      <c r="C9" t="inlineStr">
        <is>
          <t>MS_KMeans_VNS</t>
        </is>
      </c>
      <c r="D9" t="n">
        <v>500</v>
      </c>
      <c r="E9" t="n">
        <v>512</v>
      </c>
      <c r="F9" s="3" t="n">
        <v>321.5471825865883</v>
      </c>
      <c r="G9" s="3" t="n">
        <v>663.962236986597</v>
      </c>
      <c r="H9" s="3" t="n">
        <v>4.645937900000717</v>
      </c>
      <c r="I9" t="n">
        <v>61</v>
      </c>
      <c r="J9" t="n">
        <v>488</v>
      </c>
      <c r="K9" t="n">
        <v>24</v>
      </c>
      <c r="L9" s="4" t="n">
        <v>0.953125</v>
      </c>
      <c r="M9" s="3" t="n">
        <v>0.1484647257087331</v>
      </c>
      <c r="N9" s="3" t="n">
        <v>-0.04378867174700619</v>
      </c>
      <c r="O9" s="3" t="n">
        <v>5.271265288304727</v>
      </c>
      <c r="P9" s="4" t="n">
        <v>0.8360655737704918</v>
      </c>
      <c r="Q9" t="n">
        <v>16</v>
      </c>
      <c r="R9" t="n">
        <v>19</v>
      </c>
      <c r="S9" t="n">
        <v>16</v>
      </c>
      <c r="T9" t="n">
        <v>10</v>
      </c>
      <c r="U9" t="n">
        <v>128</v>
      </c>
      <c r="V9" t="n">
        <v>152</v>
      </c>
      <c r="W9" t="n">
        <v>128</v>
      </c>
      <c r="X9" t="n">
        <v>80</v>
      </c>
      <c r="Y9" t="inlineStr">
        <is>
          <t>P1:16, P2:19, P3:16, P0:10</t>
        </is>
      </c>
      <c r="Z9" t="n">
        <v/>
      </c>
      <c r="AA9" t="n">
        <v/>
      </c>
      <c r="AB9" t="n">
        <v/>
      </c>
    </row>
    <row r="10">
      <c r="A10" t="n">
        <v>2</v>
      </c>
      <c r="B10" t="inlineStr">
        <is>
          <t>RRP_GA</t>
        </is>
      </c>
      <c r="C10" t="inlineStr">
        <is>
          <t>GA</t>
        </is>
      </c>
      <c r="D10" t="n">
        <v>500</v>
      </c>
      <c r="E10" t="n">
        <v>512</v>
      </c>
      <c r="F10" s="3" t="n">
        <v>330.6165184884028</v>
      </c>
      <c r="G10" s="3" t="n">
        <v>654.3296868361548</v>
      </c>
      <c r="H10" s="3" t="n">
        <v>4.670783399997163</v>
      </c>
      <c r="I10" t="n">
        <v>61</v>
      </c>
      <c r="J10" t="n">
        <v>488</v>
      </c>
      <c r="K10" t="n">
        <v>24</v>
      </c>
      <c r="L10" s="4" t="n">
        <v>0.953125</v>
      </c>
      <c r="M10" s="3" t="n">
        <v>0.1257316431466269</v>
      </c>
      <c r="N10" s="3" t="n">
        <v>0.005754633928493457</v>
      </c>
      <c r="O10" s="3" t="n">
        <v>5.41994292603939</v>
      </c>
      <c r="P10" s="4" t="n">
        <v>0.8688524590163934</v>
      </c>
      <c r="Q10" t="n">
        <v>16</v>
      </c>
      <c r="R10" t="n">
        <v>20</v>
      </c>
      <c r="S10" t="n">
        <v>17</v>
      </c>
      <c r="T10" t="n">
        <v>8</v>
      </c>
      <c r="U10" t="n">
        <v>128</v>
      </c>
      <c r="V10" t="n">
        <v>160</v>
      </c>
      <c r="W10" t="n">
        <v>136</v>
      </c>
      <c r="X10" t="n">
        <v>64</v>
      </c>
      <c r="Y10" t="inlineStr">
        <is>
          <t>P1:16, P2:20, P3:17, P0:8</t>
        </is>
      </c>
      <c r="Z10" t="n">
        <v/>
      </c>
      <c r="AA10" t="n">
        <v/>
      </c>
      <c r="AB10" t="n">
        <v/>
      </c>
    </row>
    <row r="11">
      <c r="A11" t="n">
        <v>2</v>
      </c>
      <c r="B11" t="inlineStr">
        <is>
          <t>RRP_SA</t>
        </is>
      </c>
      <c r="C11" t="inlineStr">
        <is>
          <t>SA</t>
        </is>
      </c>
      <c r="D11" t="n">
        <v>500</v>
      </c>
      <c r="E11" t="n">
        <v>504</v>
      </c>
      <c r="F11" s="3" t="n">
        <v>363.4477683866637</v>
      </c>
      <c r="G11" s="3" t="n">
        <v>729.8994970405145</v>
      </c>
      <c r="H11" s="3" t="n">
        <v>51.86154579999857</v>
      </c>
      <c r="I11" t="n">
        <v>62</v>
      </c>
      <c r="J11" t="n">
        <v>496</v>
      </c>
      <c r="K11" t="n">
        <v>8</v>
      </c>
      <c r="L11" s="4" t="n">
        <v>0.9841269841269841</v>
      </c>
      <c r="M11" s="3" t="n">
        <v>0.1781392301085201</v>
      </c>
      <c r="N11" s="3" t="n">
        <v>-0.01280820858348329</v>
      </c>
      <c r="O11" s="3" t="n">
        <v>5.862060780430059</v>
      </c>
      <c r="P11" s="4" t="n">
        <v>0.8870967741935484</v>
      </c>
      <c r="Q11" t="n">
        <v>19</v>
      </c>
      <c r="R11" t="n">
        <v>22</v>
      </c>
      <c r="S11" t="n">
        <v>14</v>
      </c>
      <c r="T11" t="n">
        <v>7</v>
      </c>
      <c r="U11" t="n">
        <v>152</v>
      </c>
      <c r="V11" t="n">
        <v>176</v>
      </c>
      <c r="W11" t="n">
        <v>112</v>
      </c>
      <c r="X11" t="n">
        <v>56</v>
      </c>
      <c r="Y11" t="inlineStr">
        <is>
          <t>P1:19, P2:22, P3:14, P0:7</t>
        </is>
      </c>
      <c r="Z11" t="n">
        <v/>
      </c>
      <c r="AA11" t="n">
        <v/>
      </c>
      <c r="AB11" t="n">
        <v/>
      </c>
    </row>
    <row r="12">
      <c r="A12" t="n">
        <v>3</v>
      </c>
      <c r="B12" t="inlineStr">
        <is>
          <t>RRP_KMEANS</t>
        </is>
      </c>
      <c r="C12" t="inlineStr">
        <is>
          <t>KMeans</t>
        </is>
      </c>
      <c r="D12" t="n">
        <v>500</v>
      </c>
      <c r="E12" t="n">
        <v>508</v>
      </c>
      <c r="F12" s="3" t="n">
        <v>295.6814750435821</v>
      </c>
      <c r="G12" s="3" t="n">
        <v>891.1607459625453</v>
      </c>
      <c r="H12" s="3" t="n">
        <v>0.1276665000041248</v>
      </c>
      <c r="I12" t="n">
        <v>61</v>
      </c>
      <c r="J12" t="n">
        <v>488</v>
      </c>
      <c r="K12" t="n">
        <v>20</v>
      </c>
      <c r="L12" s="4" t="n">
        <v>0.9606299212598425</v>
      </c>
      <c r="M12" s="3" t="n">
        <v>0.1044344119403412</v>
      </c>
      <c r="N12" s="3" t="n">
        <v>0.01735583759655501</v>
      </c>
      <c r="O12" s="3" t="n">
        <v>4.847237295796427</v>
      </c>
      <c r="P12" s="4" t="n">
        <v>0.8032786885245902</v>
      </c>
      <c r="Q12" t="n">
        <v>14</v>
      </c>
      <c r="R12" t="n">
        <v>17</v>
      </c>
      <c r="S12" t="n">
        <v>18</v>
      </c>
      <c r="T12" t="n">
        <v>12</v>
      </c>
      <c r="U12" t="n">
        <v>112</v>
      </c>
      <c r="V12" t="n">
        <v>136</v>
      </c>
      <c r="W12" t="n">
        <v>144</v>
      </c>
      <c r="X12" t="n">
        <v>96</v>
      </c>
      <c r="Y12" t="inlineStr">
        <is>
          <t>P1:14, P2:17, P3:18, P0:12</t>
        </is>
      </c>
      <c r="Z12" t="n">
        <v/>
      </c>
      <c r="AA12" t="n">
        <v/>
      </c>
      <c r="AB12" t="n">
        <v/>
      </c>
    </row>
    <row r="13">
      <c r="A13" t="n">
        <v>3</v>
      </c>
      <c r="B13" t="inlineStr">
        <is>
          <t>RRP_KMEANS_VNS</t>
        </is>
      </c>
      <c r="C13" t="inlineStr">
        <is>
          <t>KMeans_VNS</t>
        </is>
      </c>
      <c r="D13" t="n">
        <v>500</v>
      </c>
      <c r="E13" t="n">
        <v>500</v>
      </c>
      <c r="F13" s="3" t="n">
        <v>326.7042535287002</v>
      </c>
      <c r="G13" s="3" t="n">
        <v>970.0400494838063</v>
      </c>
      <c r="H13" s="3" t="n">
        <v>0.9959621000016341</v>
      </c>
      <c r="I13" t="n">
        <v>60</v>
      </c>
      <c r="J13" t="n">
        <v>480</v>
      </c>
      <c r="K13" t="n">
        <v>20</v>
      </c>
      <c r="L13" s="4" t="n">
        <v>0.96</v>
      </c>
      <c r="M13" s="3" t="n">
        <v>0.09858215709993567</v>
      </c>
      <c r="N13" s="3" t="n">
        <v>0.07986025855590952</v>
      </c>
      <c r="O13" s="3" t="n">
        <v>5.445070892145003</v>
      </c>
      <c r="P13" s="4" t="n">
        <v>0.8833333333333333</v>
      </c>
      <c r="Q13" t="n">
        <v>15</v>
      </c>
      <c r="R13" t="n">
        <v>21</v>
      </c>
      <c r="S13" t="n">
        <v>17</v>
      </c>
      <c r="T13" t="n">
        <v>7</v>
      </c>
      <c r="U13" t="n">
        <v>120</v>
      </c>
      <c r="V13" t="n">
        <v>168</v>
      </c>
      <c r="W13" t="n">
        <v>136</v>
      </c>
      <c r="X13" t="n">
        <v>56</v>
      </c>
      <c r="Y13" t="inlineStr">
        <is>
          <t>P1:15, P2:21, P3:17, P0:7</t>
        </is>
      </c>
      <c r="Z13" t="n">
        <v/>
      </c>
      <c r="AA13" t="n">
        <v/>
      </c>
      <c r="AB13" t="n">
        <v/>
      </c>
    </row>
    <row r="14">
      <c r="A14" t="n">
        <v>3</v>
      </c>
      <c r="B14" t="inlineStr">
        <is>
          <t>RRP_MS_KMEANS_VNS</t>
        </is>
      </c>
      <c r="C14" t="inlineStr">
        <is>
          <t>MS_KMeans_VNS</t>
        </is>
      </c>
      <c r="D14" t="n">
        <v>500</v>
      </c>
      <c r="E14" t="n">
        <v>524</v>
      </c>
      <c r="F14" s="3" t="n">
        <v>346.3739143885803</v>
      </c>
      <c r="G14" s="3" t="n">
        <v>1010.336151375177</v>
      </c>
      <c r="H14" s="3" t="n">
        <v>6.24480259999109</v>
      </c>
      <c r="I14" t="n">
        <v>63</v>
      </c>
      <c r="J14" t="n">
        <v>504</v>
      </c>
      <c r="K14" t="n">
        <v>20</v>
      </c>
      <c r="L14" s="4" t="n">
        <v>0.9618320610687023</v>
      </c>
      <c r="M14" s="3" t="n">
        <v>0.1987573369586415</v>
      </c>
      <c r="N14" s="3" t="n">
        <v>0.04659353611473518</v>
      </c>
      <c r="O14" s="3" t="n">
        <v>5.497998641088576</v>
      </c>
      <c r="P14" s="4" t="n">
        <v>0.873015873015873</v>
      </c>
      <c r="Q14" t="n">
        <v>17</v>
      </c>
      <c r="R14" t="n">
        <v>21</v>
      </c>
      <c r="S14" t="n">
        <v>17</v>
      </c>
      <c r="T14" t="n">
        <v>8</v>
      </c>
      <c r="U14" t="n">
        <v>136</v>
      </c>
      <c r="V14" t="n">
        <v>168</v>
      </c>
      <c r="W14" t="n">
        <v>136</v>
      </c>
      <c r="X14" t="n">
        <v>64</v>
      </c>
      <c r="Y14" t="inlineStr">
        <is>
          <t>P1:17, P2:21, P3:17, P0:8</t>
        </is>
      </c>
      <c r="Z14" t="n">
        <v/>
      </c>
      <c r="AA14" t="n">
        <v/>
      </c>
      <c r="AB14" t="n">
        <v/>
      </c>
    </row>
    <row r="15">
      <c r="A15" t="n">
        <v>3</v>
      </c>
      <c r="B15" t="inlineStr">
        <is>
          <t>RRP_GA</t>
        </is>
      </c>
      <c r="C15" t="inlineStr">
        <is>
          <t>GA</t>
        </is>
      </c>
      <c r="D15" t="n">
        <v>500</v>
      </c>
      <c r="E15" t="n">
        <v>524</v>
      </c>
      <c r="F15" s="3" t="n">
        <v>333.6605252881662</v>
      </c>
      <c r="G15" s="3" t="n">
        <v>987.990212124321</v>
      </c>
      <c r="H15" s="3" t="n">
        <v>3.311598399988725</v>
      </c>
      <c r="I15" t="n">
        <v>63</v>
      </c>
      <c r="J15" t="n">
        <v>504</v>
      </c>
      <c r="K15" t="n">
        <v>20</v>
      </c>
      <c r="L15" s="4" t="n">
        <v>0.9618320610687023</v>
      </c>
      <c r="M15" s="3" t="n">
        <v>0.1077697497885329</v>
      </c>
      <c r="N15" s="3" t="n">
        <v>0.02466897897428501</v>
      </c>
      <c r="O15" s="3" t="n">
        <v>5.296198814097876</v>
      </c>
      <c r="P15" s="4" t="n">
        <v>0.8412698412698413</v>
      </c>
      <c r="Q15" t="n">
        <v>16</v>
      </c>
      <c r="R15" t="n">
        <v>21</v>
      </c>
      <c r="S15" t="n">
        <v>16</v>
      </c>
      <c r="T15" t="n">
        <v>10</v>
      </c>
      <c r="U15" t="n">
        <v>128</v>
      </c>
      <c r="V15" t="n">
        <v>168</v>
      </c>
      <c r="W15" t="n">
        <v>128</v>
      </c>
      <c r="X15" t="n">
        <v>80</v>
      </c>
      <c r="Y15" t="inlineStr">
        <is>
          <t>P1:16, P2:21, P3:16, P0:10</t>
        </is>
      </c>
      <c r="Z15" t="n">
        <v/>
      </c>
      <c r="AA15" t="n">
        <v/>
      </c>
      <c r="AB15" t="n">
        <v/>
      </c>
    </row>
    <row r="16">
      <c r="A16" t="n">
        <v>3</v>
      </c>
      <c r="B16" t="inlineStr">
        <is>
          <t>RRP_SA</t>
        </is>
      </c>
      <c r="C16" t="inlineStr">
        <is>
          <t>SA</t>
        </is>
      </c>
      <c r="D16" t="n">
        <v>500</v>
      </c>
      <c r="E16" t="n">
        <v>508</v>
      </c>
      <c r="F16" s="3" t="n">
        <v>367.4932347393516</v>
      </c>
      <c r="G16" s="3" t="n">
        <v>1097.392731779866</v>
      </c>
      <c r="H16" s="3" t="n">
        <v>51.06673589999264</v>
      </c>
      <c r="I16" t="n">
        <v>61</v>
      </c>
      <c r="J16" t="n">
        <v>488</v>
      </c>
      <c r="K16" t="n">
        <v>20</v>
      </c>
      <c r="L16" s="4" t="n">
        <v>0.9606299212598425</v>
      </c>
      <c r="M16" s="3" t="n">
        <v>0.1661525444748974</v>
      </c>
      <c r="N16" s="3" t="n">
        <v>0.04025196833830747</v>
      </c>
      <c r="O16" s="3" t="n">
        <v>6.024479258022157</v>
      </c>
      <c r="P16" s="4" t="n">
        <v>0.9180327868852459</v>
      </c>
      <c r="Q16" t="n">
        <v>20</v>
      </c>
      <c r="R16" t="n">
        <v>20</v>
      </c>
      <c r="S16" t="n">
        <v>16</v>
      </c>
      <c r="T16" t="n">
        <v>5</v>
      </c>
      <c r="U16" t="n">
        <v>160</v>
      </c>
      <c r="V16" t="n">
        <v>160</v>
      </c>
      <c r="W16" t="n">
        <v>128</v>
      </c>
      <c r="X16" t="n">
        <v>40</v>
      </c>
      <c r="Y16" t="inlineStr">
        <is>
          <t>P1:20, P2:20, P3:16, P0:5</t>
        </is>
      </c>
      <c r="Z16" t="n">
        <v/>
      </c>
      <c r="AA16" t="n">
        <v/>
      </c>
      <c r="AB16" t="n">
        <v/>
      </c>
    </row>
    <row r="17">
      <c r="A17" t="n">
        <v>4</v>
      </c>
      <c r="B17" t="inlineStr">
        <is>
          <t>RRP_KMEANS</t>
        </is>
      </c>
      <c r="C17" t="inlineStr">
        <is>
          <t>KMeans</t>
        </is>
      </c>
      <c r="D17" t="n">
        <v>500</v>
      </c>
      <c r="E17" t="n">
        <v>520</v>
      </c>
      <c r="F17" s="3" t="n">
        <v>308.6818169401809</v>
      </c>
      <c r="G17" s="3" t="n">
        <v>1199.842562902726</v>
      </c>
      <c r="H17" s="3" t="n">
        <v>0.1965851999993902</v>
      </c>
      <c r="I17" t="n">
        <v>65</v>
      </c>
      <c r="J17" t="n">
        <v>520</v>
      </c>
      <c r="K17" t="n">
        <v>0</v>
      </c>
      <c r="L17" s="4" t="n">
        <v>1</v>
      </c>
      <c r="M17" s="3" t="n">
        <v>0.09790247994432583</v>
      </c>
      <c r="N17" s="3" t="n">
        <v>-0.007129072689952085</v>
      </c>
      <c r="O17" s="3" t="n">
        <v>4.748951029848937</v>
      </c>
      <c r="P17" s="4" t="n">
        <v>0.7538461538461538</v>
      </c>
      <c r="Q17" t="n">
        <v>15</v>
      </c>
      <c r="R17" t="n">
        <v>19</v>
      </c>
      <c r="S17" t="n">
        <v>15</v>
      </c>
      <c r="T17" t="n">
        <v>16</v>
      </c>
      <c r="U17" t="n">
        <v>120</v>
      </c>
      <c r="V17" t="n">
        <v>152</v>
      </c>
      <c r="W17" t="n">
        <v>120</v>
      </c>
      <c r="X17" t="n">
        <v>128</v>
      </c>
      <c r="Y17" t="inlineStr">
        <is>
          <t>P1:15, P2:19, P3:15, P0:16</t>
        </is>
      </c>
      <c r="Z17" t="n">
        <v/>
      </c>
      <c r="AA17" t="n">
        <v/>
      </c>
      <c r="AB17" t="n">
        <v/>
      </c>
    </row>
    <row r="18">
      <c r="A18" t="n">
        <v>4</v>
      </c>
      <c r="B18" t="inlineStr">
        <is>
          <t>RRP_KMEANS_VNS</t>
        </is>
      </c>
      <c r="C18" t="inlineStr">
        <is>
          <t>KMeans_VNS</t>
        </is>
      </c>
      <c r="D18" t="n">
        <v>500</v>
      </c>
      <c r="E18" t="n">
        <v>520</v>
      </c>
      <c r="F18" s="3" t="n">
        <v>317.6441553811638</v>
      </c>
      <c r="G18" s="3" t="n">
        <v>1287.68420486497</v>
      </c>
      <c r="H18" s="3" t="n">
        <v>0.6518237999989651</v>
      </c>
      <c r="I18" t="n">
        <v>64</v>
      </c>
      <c r="J18" t="n">
        <v>512</v>
      </c>
      <c r="K18" t="n">
        <v>8</v>
      </c>
      <c r="L18" s="4" t="n">
        <v>0.9846153846153847</v>
      </c>
      <c r="M18" s="3" t="n">
        <v>0.1112014433862923</v>
      </c>
      <c r="N18" s="3" t="n">
        <v>-0.04046856853660324</v>
      </c>
      <c r="O18" s="3" t="n">
        <v>4.963189927830685</v>
      </c>
      <c r="P18" s="4" t="n">
        <v>0.8125</v>
      </c>
      <c r="Q18" t="n">
        <v>15</v>
      </c>
      <c r="R18" t="n">
        <v>19</v>
      </c>
      <c r="S18" t="n">
        <v>18</v>
      </c>
      <c r="T18" t="n">
        <v>12</v>
      </c>
      <c r="U18" t="n">
        <v>120</v>
      </c>
      <c r="V18" t="n">
        <v>152</v>
      </c>
      <c r="W18" t="n">
        <v>144</v>
      </c>
      <c r="X18" t="n">
        <v>96</v>
      </c>
      <c r="Y18" t="inlineStr">
        <is>
          <t>P1:15, P2:19, P3:18, P0:12</t>
        </is>
      </c>
      <c r="Z18" t="n">
        <v/>
      </c>
      <c r="AA18" t="n">
        <v/>
      </c>
      <c r="AB18" t="n">
        <v/>
      </c>
    </row>
    <row r="19">
      <c r="A19" t="n">
        <v>4</v>
      </c>
      <c r="B19" t="inlineStr">
        <is>
          <t>RRP_MS_KMEANS_VNS</t>
        </is>
      </c>
      <c r="C19" t="inlineStr">
        <is>
          <t>MS_KMeans_VNS</t>
        </is>
      </c>
      <c r="D19" t="n">
        <v>500</v>
      </c>
      <c r="E19" t="n">
        <v>520</v>
      </c>
      <c r="F19" s="3" t="n">
        <v>323.7384816860226</v>
      </c>
      <c r="G19" s="3" t="n">
        <v>1334.0746330612</v>
      </c>
      <c r="H19" s="3" t="n">
        <v>2.79457640000328</v>
      </c>
      <c r="I19" t="n">
        <v>63</v>
      </c>
      <c r="J19" t="n">
        <v>504</v>
      </c>
      <c r="K19" t="n">
        <v>16</v>
      </c>
      <c r="L19" s="4" t="n">
        <v>0.9692307692307692</v>
      </c>
      <c r="M19" s="3" t="n">
        <v>0.08302168697698122</v>
      </c>
      <c r="N19" s="3" t="n">
        <v>0.00328925307393337</v>
      </c>
      <c r="O19" s="3" t="n">
        <v>5.138706058508295</v>
      </c>
      <c r="P19" s="4" t="n">
        <v>0.8253968253968254</v>
      </c>
      <c r="Q19" t="n">
        <v>15</v>
      </c>
      <c r="R19" t="n">
        <v>21</v>
      </c>
      <c r="S19" t="n">
        <v>16</v>
      </c>
      <c r="T19" t="n">
        <v>11</v>
      </c>
      <c r="U19" t="n">
        <v>120</v>
      </c>
      <c r="V19" t="n">
        <v>168</v>
      </c>
      <c r="W19" t="n">
        <v>128</v>
      </c>
      <c r="X19" t="n">
        <v>88</v>
      </c>
      <c r="Y19" t="inlineStr">
        <is>
          <t>P1:15, P2:21, P3:16, P0:11</t>
        </is>
      </c>
      <c r="Z19" t="n">
        <v/>
      </c>
      <c r="AA19" t="n">
        <v/>
      </c>
      <c r="AB19" t="n">
        <v/>
      </c>
    </row>
    <row r="20">
      <c r="A20" t="n">
        <v>4</v>
      </c>
      <c r="B20" t="inlineStr">
        <is>
          <t>RRP_GA</t>
        </is>
      </c>
      <c r="C20" t="inlineStr">
        <is>
          <t>GA</t>
        </is>
      </c>
      <c r="D20" t="n">
        <v>500</v>
      </c>
      <c r="E20" t="n">
        <v>520</v>
      </c>
      <c r="F20" s="3" t="n">
        <v>330.6524225306684</v>
      </c>
      <c r="G20" s="3" t="n">
        <v>1318.642634654989</v>
      </c>
      <c r="H20" s="3" t="n">
        <v>3.302610400001868</v>
      </c>
      <c r="I20" t="n">
        <v>63</v>
      </c>
      <c r="J20" t="n">
        <v>504</v>
      </c>
      <c r="K20" t="n">
        <v>16</v>
      </c>
      <c r="L20" s="4" t="n">
        <v>0.9692307692307692</v>
      </c>
      <c r="M20" s="3" t="n">
        <v>0.1103420537560511</v>
      </c>
      <c r="N20" s="3" t="n">
        <v>0.004493059831285338</v>
      </c>
      <c r="O20" s="3" t="n">
        <v>5.248451151280451</v>
      </c>
      <c r="P20" s="4" t="n">
        <v>0.8412698412698413</v>
      </c>
      <c r="Q20" t="n">
        <v>16</v>
      </c>
      <c r="R20" t="n">
        <v>20</v>
      </c>
      <c r="S20" t="n">
        <v>17</v>
      </c>
      <c r="T20" t="n">
        <v>10</v>
      </c>
      <c r="U20" t="n">
        <v>128</v>
      </c>
      <c r="V20" t="n">
        <v>160</v>
      </c>
      <c r="W20" t="n">
        <v>136</v>
      </c>
      <c r="X20" t="n">
        <v>80</v>
      </c>
      <c r="Y20" t="inlineStr">
        <is>
          <t>P1:16, P2:20, P3:17, P0:10</t>
        </is>
      </c>
      <c r="Z20" t="n">
        <v/>
      </c>
      <c r="AA20" t="n">
        <v/>
      </c>
      <c r="AB20" t="n">
        <v/>
      </c>
    </row>
    <row r="21">
      <c r="A21" t="n">
        <v>4</v>
      </c>
      <c r="B21" t="inlineStr">
        <is>
          <t>RRP_SA</t>
        </is>
      </c>
      <c r="C21" t="inlineStr">
        <is>
          <t>SA</t>
        </is>
      </c>
      <c r="D21" t="n">
        <v>500</v>
      </c>
      <c r="E21" t="n">
        <v>520</v>
      </c>
      <c r="F21" s="3" t="n">
        <v>362.3824659752564</v>
      </c>
      <c r="G21" s="3" t="n">
        <v>1459.775197755122</v>
      </c>
      <c r="H21" s="3" t="n">
        <v>53.1405880000093</v>
      </c>
      <c r="I21" t="n">
        <v>63</v>
      </c>
      <c r="J21" t="n">
        <v>504</v>
      </c>
      <c r="K21" t="n">
        <v>16</v>
      </c>
      <c r="L21" s="4" t="n">
        <v>0.9692307692307692</v>
      </c>
      <c r="M21" s="3" t="n">
        <v>0.196042547537665</v>
      </c>
      <c r="N21" s="3" t="n">
        <v>-0.0009317936841555488</v>
      </c>
      <c r="O21" s="3" t="n">
        <v>5.75210263452788</v>
      </c>
      <c r="P21" s="4" t="n">
        <v>0.873015873015873</v>
      </c>
      <c r="Q21" t="n">
        <v>18</v>
      </c>
      <c r="R21" t="n">
        <v>24</v>
      </c>
      <c r="S21" t="n">
        <v>13</v>
      </c>
      <c r="T21" t="n">
        <v>8</v>
      </c>
      <c r="U21" t="n">
        <v>144</v>
      </c>
      <c r="V21" t="n">
        <v>192</v>
      </c>
      <c r="W21" t="n">
        <v>104</v>
      </c>
      <c r="X21" t="n">
        <v>64</v>
      </c>
      <c r="Y21" t="inlineStr">
        <is>
          <t>P1:18, P2:24, P3:13, P0:8</t>
        </is>
      </c>
      <c r="Z21" t="n">
        <v/>
      </c>
      <c r="AA21" t="n">
        <v/>
      </c>
      <c r="AB21" t="n">
        <v/>
      </c>
    </row>
    <row r="22">
      <c r="A22" t="n">
        <v>5</v>
      </c>
      <c r="B22" t="inlineStr">
        <is>
          <t>RRP_KMEANS</t>
        </is>
      </c>
      <c r="C22" t="inlineStr">
        <is>
          <t>KMeans</t>
        </is>
      </c>
      <c r="D22" t="n">
        <v>500</v>
      </c>
      <c r="E22" t="n">
        <v>500</v>
      </c>
      <c r="F22" s="3" t="n">
        <v>290.8419206615403</v>
      </c>
      <c r="G22" s="3" t="n">
        <v>1490.684483564267</v>
      </c>
      <c r="H22" s="3" t="n">
        <v>0.2644888000068022</v>
      </c>
      <c r="I22" t="n">
        <v>59</v>
      </c>
      <c r="J22" t="n">
        <v>472</v>
      </c>
      <c r="K22" t="n">
        <v>28</v>
      </c>
      <c r="L22" s="4" t="n">
        <v>0.944</v>
      </c>
      <c r="M22" s="3" t="n">
        <v>0.05358621642701836</v>
      </c>
      <c r="N22" s="3" t="n">
        <v>0.02253488246446067</v>
      </c>
      <c r="O22" s="3" t="n">
        <v>4.929524079009158</v>
      </c>
      <c r="P22" s="4" t="n">
        <v>0.8135593220338984</v>
      </c>
      <c r="Q22" t="n">
        <v>15</v>
      </c>
      <c r="R22" t="n">
        <v>14</v>
      </c>
      <c r="S22" t="n">
        <v>19</v>
      </c>
      <c r="T22" t="n">
        <v>11</v>
      </c>
      <c r="U22" t="n">
        <v>120</v>
      </c>
      <c r="V22" t="n">
        <v>112</v>
      </c>
      <c r="W22" t="n">
        <v>152</v>
      </c>
      <c r="X22" t="n">
        <v>88</v>
      </c>
      <c r="Y22" t="inlineStr">
        <is>
          <t>P1:15, P2:14, P3:19, P0:11</t>
        </is>
      </c>
      <c r="Z22" t="n">
        <v/>
      </c>
      <c r="AA22" t="n">
        <v/>
      </c>
      <c r="AB22" t="n">
        <v/>
      </c>
    </row>
    <row r="23">
      <c r="A23" t="n">
        <v>5</v>
      </c>
      <c r="B23" t="inlineStr">
        <is>
          <t>RRP_KMEANS_VNS</t>
        </is>
      </c>
      <c r="C23" t="inlineStr">
        <is>
          <t>KMeans_VNS</t>
        </is>
      </c>
      <c r="D23" t="n">
        <v>500</v>
      </c>
      <c r="E23" t="n">
        <v>508</v>
      </c>
      <c r="F23" s="3" t="n">
        <v>311.7343106338916</v>
      </c>
      <c r="G23" s="3" t="n">
        <v>1599.418515498862</v>
      </c>
      <c r="H23" s="3" t="n">
        <v>0.6502808999939589</v>
      </c>
      <c r="I23" t="n">
        <v>62</v>
      </c>
      <c r="J23" t="n">
        <v>496</v>
      </c>
      <c r="K23" t="n">
        <v>12</v>
      </c>
      <c r="L23" s="4" t="n">
        <v>0.9763779527559056</v>
      </c>
      <c r="M23" s="3" t="n">
        <v>0.08570624713174446</v>
      </c>
      <c r="N23" s="3" t="n">
        <v>0.02298384765362249</v>
      </c>
      <c r="O23" s="3" t="n">
        <v>5.027972752159542</v>
      </c>
      <c r="P23" s="4" t="n">
        <v>0.8225806451612904</v>
      </c>
      <c r="Q23" t="n">
        <v>15</v>
      </c>
      <c r="R23" t="n">
        <v>18</v>
      </c>
      <c r="S23" t="n">
        <v>18</v>
      </c>
      <c r="T23" t="n">
        <v>11</v>
      </c>
      <c r="U23" t="n">
        <v>120</v>
      </c>
      <c r="V23" t="n">
        <v>144</v>
      </c>
      <c r="W23" t="n">
        <v>144</v>
      </c>
      <c r="X23" t="n">
        <v>88</v>
      </c>
      <c r="Y23" t="inlineStr">
        <is>
          <t>P1:15, P2:18, P3:18, P0:11</t>
        </is>
      </c>
      <c r="Z23" t="n">
        <v/>
      </c>
      <c r="AA23" t="n">
        <v/>
      </c>
      <c r="AB23" t="n">
        <v/>
      </c>
    </row>
    <row r="24">
      <c r="A24" t="n">
        <v>5</v>
      </c>
      <c r="B24" t="inlineStr">
        <is>
          <t>RRP_MS_KMEANS_VNS</t>
        </is>
      </c>
      <c r="C24" t="inlineStr">
        <is>
          <t>MS_KMeans_VNS</t>
        </is>
      </c>
      <c r="D24" t="n">
        <v>500</v>
      </c>
      <c r="E24" t="n">
        <v>516</v>
      </c>
      <c r="F24" s="3" t="n">
        <v>321.7132286485415</v>
      </c>
      <c r="G24" s="3" t="n">
        <v>1655.787861709741</v>
      </c>
      <c r="H24" s="3" t="n">
        <v>2.857740000006743</v>
      </c>
      <c r="I24" t="n">
        <v>63</v>
      </c>
      <c r="J24" t="n">
        <v>504</v>
      </c>
      <c r="K24" t="n">
        <v>12</v>
      </c>
      <c r="L24" s="4" t="n">
        <v>0.9767441860465116</v>
      </c>
      <c r="M24" s="3" t="n">
        <v>0.09103852427254822</v>
      </c>
      <c r="N24" s="3" t="n">
        <v>0.01064589363500278</v>
      </c>
      <c r="O24" s="3" t="n">
        <v>5.106559184897484</v>
      </c>
      <c r="P24" s="4" t="n">
        <v>0.8253968253968254</v>
      </c>
      <c r="Q24" t="n">
        <v>16</v>
      </c>
      <c r="R24" t="n">
        <v>18</v>
      </c>
      <c r="S24" t="n">
        <v>18</v>
      </c>
      <c r="T24" t="n">
        <v>11</v>
      </c>
      <c r="U24" t="n">
        <v>128</v>
      </c>
      <c r="V24" t="n">
        <v>144</v>
      </c>
      <c r="W24" t="n">
        <v>144</v>
      </c>
      <c r="X24" t="n">
        <v>88</v>
      </c>
      <c r="Y24" t="inlineStr">
        <is>
          <t>P1:16, P2:18, P3:18, P0:11</t>
        </is>
      </c>
      <c r="Z24" t="n">
        <v/>
      </c>
      <c r="AA24" t="n">
        <v/>
      </c>
      <c r="AB24" t="n">
        <v/>
      </c>
    </row>
    <row r="25">
      <c r="A25" t="n">
        <v>5</v>
      </c>
      <c r="B25" t="inlineStr">
        <is>
          <t>RRP_GA</t>
        </is>
      </c>
      <c r="C25" t="inlineStr">
        <is>
          <t>GA</t>
        </is>
      </c>
      <c r="D25" t="n">
        <v>500</v>
      </c>
      <c r="E25" t="n">
        <v>516</v>
      </c>
      <c r="F25" s="3" t="n">
        <v>327.6780081263727</v>
      </c>
      <c r="G25" s="3" t="n">
        <v>1646.320642781362</v>
      </c>
      <c r="H25" s="3" t="n">
        <v>3.31970549999096</v>
      </c>
      <c r="I25" t="n">
        <v>63</v>
      </c>
      <c r="J25" t="n">
        <v>504</v>
      </c>
      <c r="K25" t="n">
        <v>12</v>
      </c>
      <c r="L25" s="4" t="n">
        <v>0.9767441860465116</v>
      </c>
      <c r="M25" s="3" t="n">
        <v>0.1022196424213465</v>
      </c>
      <c r="N25" s="3" t="n">
        <v>0.009632841853563766</v>
      </c>
      <c r="O25" s="3" t="n">
        <v>5.201238224228138</v>
      </c>
      <c r="P25" s="4" t="n">
        <v>0.8253968253968254</v>
      </c>
      <c r="Q25" t="n">
        <v>16</v>
      </c>
      <c r="R25" t="n">
        <v>20</v>
      </c>
      <c r="S25" t="n">
        <v>16</v>
      </c>
      <c r="T25" t="n">
        <v>11</v>
      </c>
      <c r="U25" t="n">
        <v>128</v>
      </c>
      <c r="V25" t="n">
        <v>160</v>
      </c>
      <c r="W25" t="n">
        <v>128</v>
      </c>
      <c r="X25" t="n">
        <v>88</v>
      </c>
      <c r="Y25" t="inlineStr">
        <is>
          <t>P1:16, P2:20, P3:16, P0:11</t>
        </is>
      </c>
      <c r="Z25" t="n">
        <v/>
      </c>
      <c r="AA25" t="n">
        <v/>
      </c>
      <c r="AB25" t="n">
        <v/>
      </c>
    </row>
    <row r="26">
      <c r="A26" t="n">
        <v>5</v>
      </c>
      <c r="B26" t="inlineStr">
        <is>
          <t>RRP_SA</t>
        </is>
      </c>
      <c r="C26" t="inlineStr">
        <is>
          <t>SA</t>
        </is>
      </c>
      <c r="D26" t="n">
        <v>500</v>
      </c>
      <c r="E26" t="n">
        <v>516</v>
      </c>
      <c r="F26" s="3" t="n">
        <v>370.4224546856113</v>
      </c>
      <c r="G26" s="3" t="n">
        <v>1830.197652440734</v>
      </c>
      <c r="H26" s="3" t="n">
        <v>54.14469329999702</v>
      </c>
      <c r="I26" t="n">
        <v>63</v>
      </c>
      <c r="J26" t="n">
        <v>504</v>
      </c>
      <c r="K26" t="n">
        <v>12</v>
      </c>
      <c r="L26" s="4" t="n">
        <v>0.9767441860465116</v>
      </c>
      <c r="M26" s="3" t="n">
        <v>0.1833477188535671</v>
      </c>
      <c r="N26" s="3" t="n">
        <v>0.0112987949311271</v>
      </c>
      <c r="O26" s="3" t="n">
        <v>5.879721502946211</v>
      </c>
      <c r="P26" s="4" t="n">
        <v>0.8888888888888888</v>
      </c>
      <c r="Q26" t="n">
        <v>20</v>
      </c>
      <c r="R26" t="n">
        <v>21</v>
      </c>
      <c r="S26" t="n">
        <v>15</v>
      </c>
      <c r="T26" t="n">
        <v>7</v>
      </c>
      <c r="U26" t="n">
        <v>160</v>
      </c>
      <c r="V26" t="n">
        <v>168</v>
      </c>
      <c r="W26" t="n">
        <v>120</v>
      </c>
      <c r="X26" t="n">
        <v>56</v>
      </c>
      <c r="Y26" t="inlineStr">
        <is>
          <t>P1:20, P2:21, P3:15, P0:7</t>
        </is>
      </c>
      <c r="Z26" t="n">
        <v/>
      </c>
      <c r="AA26" t="n">
        <v/>
      </c>
      <c r="AB26" t="n">
        <v/>
      </c>
    </row>
    <row r="27">
      <c r="A27" t="n">
        <v>6</v>
      </c>
      <c r="B27" t="inlineStr">
        <is>
          <t>RRP_KMEANS</t>
        </is>
      </c>
      <c r="C27" t="inlineStr">
        <is>
          <t>KMeans</t>
        </is>
      </c>
      <c r="D27" t="n">
        <v>500</v>
      </c>
      <c r="E27" t="n">
        <v>528</v>
      </c>
      <c r="F27" s="3" t="n">
        <v>324.6453188956406</v>
      </c>
      <c r="G27" s="3" t="n">
        <v>1815.329802459907</v>
      </c>
      <c r="H27" s="3" t="n">
        <v>0.1194060999987414</v>
      </c>
      <c r="I27" t="n">
        <v>65</v>
      </c>
      <c r="J27" t="n">
        <v>520</v>
      </c>
      <c r="K27" t="n">
        <v>8</v>
      </c>
      <c r="L27" s="4" t="n">
        <v>0.9848484848484849</v>
      </c>
      <c r="M27" s="3" t="n">
        <v>0.1091326474952028</v>
      </c>
      <c r="N27" s="3" t="n">
        <v>0.01944190414801733</v>
      </c>
      <c r="O27" s="3" t="n">
        <v>4.99454336762524</v>
      </c>
      <c r="P27" s="4" t="n">
        <v>0.7846153846153846</v>
      </c>
      <c r="Q27" t="n">
        <v>16</v>
      </c>
      <c r="R27" t="n">
        <v>20</v>
      </c>
      <c r="S27" t="n">
        <v>15</v>
      </c>
      <c r="T27" t="n">
        <v>14</v>
      </c>
      <c r="U27" t="n">
        <v>128</v>
      </c>
      <c r="V27" t="n">
        <v>160</v>
      </c>
      <c r="W27" t="n">
        <v>120</v>
      </c>
      <c r="X27" t="n">
        <v>112</v>
      </c>
      <c r="Y27" t="inlineStr">
        <is>
          <t>P1:16, P2:20, P3:15, P0:14</t>
        </is>
      </c>
      <c r="Z27" t="n">
        <v/>
      </c>
      <c r="AA27" t="n">
        <v/>
      </c>
      <c r="AB27" t="n">
        <v/>
      </c>
    </row>
    <row r="28">
      <c r="A28" t="n">
        <v>6</v>
      </c>
      <c r="B28" t="inlineStr">
        <is>
          <t>RRP_KMEANS_VNS</t>
        </is>
      </c>
      <c r="C28" t="inlineStr">
        <is>
          <t>KMeans_VNS</t>
        </is>
      </c>
      <c r="D28" t="n">
        <v>500</v>
      </c>
      <c r="E28" t="n">
        <v>512</v>
      </c>
      <c r="F28" s="3" t="n">
        <v>334.7263834524155</v>
      </c>
      <c r="G28" s="3" t="n">
        <v>1934.144898951277</v>
      </c>
      <c r="H28" s="3" t="n">
        <v>0.7613992999977199</v>
      </c>
      <c r="I28" t="n">
        <v>63</v>
      </c>
      <c r="J28" t="n">
        <v>504</v>
      </c>
      <c r="K28" t="n">
        <v>8</v>
      </c>
      <c r="L28" s="4" t="n">
        <v>0.984375</v>
      </c>
      <c r="M28" s="3" t="n">
        <v>0.08686239605856229</v>
      </c>
      <c r="N28" s="3" t="n">
        <v>0.009187333665703458</v>
      </c>
      <c r="O28" s="3" t="n">
        <v>5.313117197657389</v>
      </c>
      <c r="P28" s="4" t="n">
        <v>0.8412698412698413</v>
      </c>
      <c r="Q28" t="n">
        <v>17</v>
      </c>
      <c r="R28" t="n">
        <v>19</v>
      </c>
      <c r="S28" t="n">
        <v>17</v>
      </c>
      <c r="T28" t="n">
        <v>10</v>
      </c>
      <c r="U28" t="n">
        <v>136</v>
      </c>
      <c r="V28" t="n">
        <v>152</v>
      </c>
      <c r="W28" t="n">
        <v>136</v>
      </c>
      <c r="X28" t="n">
        <v>80</v>
      </c>
      <c r="Y28" t="inlineStr">
        <is>
          <t>P1:17, P2:19, P3:17, P0:10</t>
        </is>
      </c>
      <c r="Z28" t="n">
        <v/>
      </c>
      <c r="AA28" t="n">
        <v/>
      </c>
      <c r="AB28" t="n">
        <v/>
      </c>
    </row>
    <row r="29">
      <c r="A29" t="n">
        <v>6</v>
      </c>
      <c r="B29" t="inlineStr">
        <is>
          <t>RRP_MS_KMEANS_VNS</t>
        </is>
      </c>
      <c r="C29" t="inlineStr">
        <is>
          <t>MS_KMeans_VNS</t>
        </is>
      </c>
      <c r="D29" t="n">
        <v>500</v>
      </c>
      <c r="E29" t="n">
        <v>512</v>
      </c>
      <c r="F29" s="3" t="n">
        <v>338.6812596823851</v>
      </c>
      <c r="G29" s="3" t="n">
        <v>1994.469121392126</v>
      </c>
      <c r="H29" s="3" t="n">
        <v>3.027271600003587</v>
      </c>
      <c r="I29" t="n">
        <v>64</v>
      </c>
      <c r="J29" t="n">
        <v>512</v>
      </c>
      <c r="K29" t="n">
        <v>0</v>
      </c>
      <c r="L29" s="4" t="n">
        <v>1</v>
      </c>
      <c r="M29" s="3" t="n">
        <v>0.09960634925464112</v>
      </c>
      <c r="N29" s="3" t="n">
        <v>-0.02100880970239896</v>
      </c>
      <c r="O29" s="3" t="n">
        <v>5.291894682537268</v>
      </c>
      <c r="P29" s="4" t="n">
        <v>0.828125</v>
      </c>
      <c r="Q29" t="n">
        <v>18</v>
      </c>
      <c r="R29" t="n">
        <v>18</v>
      </c>
      <c r="S29" t="n">
        <v>17</v>
      </c>
      <c r="T29" t="n">
        <v>11</v>
      </c>
      <c r="U29" t="n">
        <v>144</v>
      </c>
      <c r="V29" t="n">
        <v>144</v>
      </c>
      <c r="W29" t="n">
        <v>136</v>
      </c>
      <c r="X29" t="n">
        <v>88</v>
      </c>
      <c r="Y29" t="inlineStr">
        <is>
          <t>P1:18, P2:18, P3:17, P0:11</t>
        </is>
      </c>
      <c r="Z29" t="n">
        <v/>
      </c>
      <c r="AA29" t="n">
        <v/>
      </c>
      <c r="AB29" t="n">
        <v/>
      </c>
    </row>
    <row r="30">
      <c r="A30" t="n">
        <v>6</v>
      </c>
      <c r="B30" t="inlineStr">
        <is>
          <t>RRP_GA</t>
        </is>
      </c>
      <c r="C30" t="inlineStr">
        <is>
          <t>GA</t>
        </is>
      </c>
      <c r="D30" t="n">
        <v>500</v>
      </c>
      <c r="E30" t="n">
        <v>512</v>
      </c>
      <c r="F30" s="3" t="n">
        <v>330.6589007659422</v>
      </c>
      <c r="G30" s="3" t="n">
        <v>1976.979543547305</v>
      </c>
      <c r="H30" s="3" t="n">
        <v>2.89880519999133</v>
      </c>
      <c r="I30" t="n">
        <v>63</v>
      </c>
      <c r="J30" t="n">
        <v>504</v>
      </c>
      <c r="K30" t="n">
        <v>8</v>
      </c>
      <c r="L30" s="4" t="n">
        <v>0.984375</v>
      </c>
      <c r="M30" s="3" t="n">
        <v>0.1082854711294317</v>
      </c>
      <c r="N30" s="3" t="n">
        <v>-0.01547123438769613</v>
      </c>
      <c r="O30" s="3" t="n">
        <v>5.248553980411781</v>
      </c>
      <c r="P30" s="4" t="n">
        <v>0.8253968253968254</v>
      </c>
      <c r="Q30" t="n">
        <v>16</v>
      </c>
      <c r="R30" t="n">
        <v>21</v>
      </c>
      <c r="S30" t="n">
        <v>15</v>
      </c>
      <c r="T30" t="n">
        <v>11</v>
      </c>
      <c r="U30" t="n">
        <v>128</v>
      </c>
      <c r="V30" t="n">
        <v>168</v>
      </c>
      <c r="W30" t="n">
        <v>120</v>
      </c>
      <c r="X30" t="n">
        <v>88</v>
      </c>
      <c r="Y30" t="inlineStr">
        <is>
          <t>P1:16, P2:21, P3:15, P0:11</t>
        </is>
      </c>
      <c r="Z30" t="n">
        <v/>
      </c>
      <c r="AA30" t="n">
        <v/>
      </c>
      <c r="AB30" t="n">
        <v/>
      </c>
    </row>
    <row r="31">
      <c r="A31" t="n">
        <v>6</v>
      </c>
      <c r="B31" t="inlineStr">
        <is>
          <t>RRP_SA</t>
        </is>
      </c>
      <c r="C31" t="inlineStr">
        <is>
          <t>SA</t>
        </is>
      </c>
      <c r="D31" t="n">
        <v>500</v>
      </c>
      <c r="E31" t="n">
        <v>512</v>
      </c>
      <c r="F31" s="3" t="n">
        <v>367.475083380207</v>
      </c>
      <c r="G31" s="3" t="n">
        <v>2197.672735820941</v>
      </c>
      <c r="H31" s="3" t="n">
        <v>53.78033850000065</v>
      </c>
      <c r="I31" t="n">
        <v>62</v>
      </c>
      <c r="J31" t="n">
        <v>496</v>
      </c>
      <c r="K31" t="n">
        <v>16</v>
      </c>
      <c r="L31" s="4" t="n">
        <v>0.96875</v>
      </c>
      <c r="M31" s="3" t="n">
        <v>0.1693279418686757</v>
      </c>
      <c r="N31" s="3" t="n">
        <v>0.01236166540369164</v>
      </c>
      <c r="O31" s="3" t="n">
        <v>5.927017473874307</v>
      </c>
      <c r="P31" s="4" t="n">
        <v>0.8709677419354839</v>
      </c>
      <c r="Q31" t="n">
        <v>20</v>
      </c>
      <c r="R31" t="n">
        <v>22</v>
      </c>
      <c r="S31" t="n">
        <v>12</v>
      </c>
      <c r="T31" t="n">
        <v>8</v>
      </c>
      <c r="U31" t="n">
        <v>160</v>
      </c>
      <c r="V31" t="n">
        <v>176</v>
      </c>
      <c r="W31" t="n">
        <v>96</v>
      </c>
      <c r="X31" t="n">
        <v>64</v>
      </c>
      <c r="Y31" t="inlineStr">
        <is>
          <t>P1:20, P2:22, P3:12, P0:8</t>
        </is>
      </c>
      <c r="Z31" t="n">
        <v/>
      </c>
      <c r="AA31" t="n">
        <v/>
      </c>
      <c r="AB31" t="n">
        <v/>
      </c>
    </row>
    <row r="32">
      <c r="A32" t="n">
        <v>7</v>
      </c>
      <c r="B32" t="inlineStr">
        <is>
          <t>RRP_KMEANS</t>
        </is>
      </c>
      <c r="C32" t="inlineStr">
        <is>
          <t>KMeans</t>
        </is>
      </c>
      <c r="D32" t="n">
        <v>500</v>
      </c>
      <c r="E32" t="n">
        <v>508</v>
      </c>
      <c r="F32" s="3" t="n">
        <v>297.7637968545528</v>
      </c>
      <c r="G32" s="3" t="n">
        <v>2113.09359931446</v>
      </c>
      <c r="H32" s="3" t="n">
        <v>0.09794899998814799</v>
      </c>
      <c r="I32" t="n">
        <v>62</v>
      </c>
      <c r="J32" t="n">
        <v>496</v>
      </c>
      <c r="K32" t="n">
        <v>12</v>
      </c>
      <c r="L32" s="4" t="n">
        <v>0.9763779527559056</v>
      </c>
      <c r="M32" s="3" t="n">
        <v>0.07619456304749803</v>
      </c>
      <c r="N32" s="3" t="n">
        <v>-0.02537037152687975</v>
      </c>
      <c r="O32" s="3" t="n">
        <v>4.802641884750851</v>
      </c>
      <c r="P32" s="4" t="n">
        <v>0.7741935483870968</v>
      </c>
      <c r="Q32" t="n">
        <v>16</v>
      </c>
      <c r="R32" t="n">
        <v>14</v>
      </c>
      <c r="S32" t="n">
        <v>18</v>
      </c>
      <c r="T32" t="n">
        <v>14</v>
      </c>
      <c r="U32" t="n">
        <v>128</v>
      </c>
      <c r="V32" t="n">
        <v>112</v>
      </c>
      <c r="W32" t="n">
        <v>144</v>
      </c>
      <c r="X32" t="n">
        <v>112</v>
      </c>
      <c r="Y32" t="inlineStr">
        <is>
          <t>P1:16, P2:14, P3:18, P0:14</t>
        </is>
      </c>
      <c r="Z32" t="n">
        <v/>
      </c>
      <c r="AA32" t="n">
        <v/>
      </c>
      <c r="AB32" t="n">
        <v/>
      </c>
    </row>
    <row r="33">
      <c r="A33" t="n">
        <v>7</v>
      </c>
      <c r="B33" t="inlineStr">
        <is>
          <t>RRP_KMEANS_VNS</t>
        </is>
      </c>
      <c r="C33" t="inlineStr">
        <is>
          <t>KMeans_VNS</t>
        </is>
      </c>
      <c r="D33" t="n">
        <v>500</v>
      </c>
      <c r="E33" t="n">
        <v>508</v>
      </c>
      <c r="F33" s="3" t="n">
        <v>301.6633344543789</v>
      </c>
      <c r="G33" s="3" t="n">
        <v>2235.808233405656</v>
      </c>
      <c r="H33" s="3" t="n">
        <v>0.7971176999999443</v>
      </c>
      <c r="I33" t="n">
        <v>61</v>
      </c>
      <c r="J33" t="n">
        <v>488</v>
      </c>
      <c r="K33" t="n">
        <v>20</v>
      </c>
      <c r="L33" s="4" t="n">
        <v>0.9606299212598425</v>
      </c>
      <c r="M33" s="3" t="n">
        <v>0.1103821461052841</v>
      </c>
      <c r="N33" s="3" t="n">
        <v>-0.06006190322341619</v>
      </c>
      <c r="O33" s="3" t="n">
        <v>4.945300564825883</v>
      </c>
      <c r="P33" s="4" t="n">
        <v>0.8032786885245902</v>
      </c>
      <c r="Q33" t="n">
        <v>14</v>
      </c>
      <c r="R33" t="n">
        <v>19</v>
      </c>
      <c r="S33" t="n">
        <v>16</v>
      </c>
      <c r="T33" t="n">
        <v>12</v>
      </c>
      <c r="U33" t="n">
        <v>112</v>
      </c>
      <c r="V33" t="n">
        <v>152</v>
      </c>
      <c r="W33" t="n">
        <v>128</v>
      </c>
      <c r="X33" t="n">
        <v>96</v>
      </c>
      <c r="Y33" t="inlineStr">
        <is>
          <t>P1:14, P2:19, P3:16, P0:12</t>
        </is>
      </c>
      <c r="Z33" t="n">
        <v/>
      </c>
      <c r="AA33" t="n">
        <v/>
      </c>
      <c r="AB33" t="n">
        <v/>
      </c>
    </row>
    <row r="34">
      <c r="A34" t="n">
        <v>7</v>
      </c>
      <c r="B34" t="inlineStr">
        <is>
          <t>RRP_MS_KMEANS_VNS</t>
        </is>
      </c>
      <c r="C34" t="inlineStr">
        <is>
          <t>MS_KMeans_VNS</t>
        </is>
      </c>
      <c r="D34" t="n">
        <v>500</v>
      </c>
      <c r="E34" t="n">
        <v>500</v>
      </c>
      <c r="F34" s="3" t="n">
        <v>316.7340514549601</v>
      </c>
      <c r="G34" s="3" t="n">
        <v>2311.203172847087</v>
      </c>
      <c r="H34" s="3" t="n">
        <v>3.497624799987534</v>
      </c>
      <c r="I34" t="n">
        <v>60</v>
      </c>
      <c r="J34" t="n">
        <v>480</v>
      </c>
      <c r="K34" t="n">
        <v>20</v>
      </c>
      <c r="L34" s="4" t="n">
        <v>0.96</v>
      </c>
      <c r="M34" s="3" t="n">
        <v>0.08864951501331851</v>
      </c>
      <c r="N34" s="3" t="n">
        <v>-0.006811386346526947</v>
      </c>
      <c r="O34" s="3" t="n">
        <v>5.278900857582669</v>
      </c>
      <c r="P34" s="4" t="n">
        <v>0.8333333333333334</v>
      </c>
      <c r="Q34" t="n">
        <v>17</v>
      </c>
      <c r="R34" t="n">
        <v>16</v>
      </c>
      <c r="S34" t="n">
        <v>17</v>
      </c>
      <c r="T34" t="n">
        <v>10</v>
      </c>
      <c r="U34" t="n">
        <v>136</v>
      </c>
      <c r="V34" t="n">
        <v>128</v>
      </c>
      <c r="W34" t="n">
        <v>136</v>
      </c>
      <c r="X34" t="n">
        <v>80</v>
      </c>
      <c r="Y34" t="inlineStr">
        <is>
          <t>P1:17, P2:16, P3:17, P0:10</t>
        </is>
      </c>
      <c r="Z34" t="n">
        <v/>
      </c>
      <c r="AA34" t="n">
        <v/>
      </c>
      <c r="AB34" t="n">
        <v/>
      </c>
    </row>
    <row r="35">
      <c r="A35" t="n">
        <v>7</v>
      </c>
      <c r="B35" t="inlineStr">
        <is>
          <t>RRP_GA</t>
        </is>
      </c>
      <c r="C35" t="inlineStr">
        <is>
          <t>GA</t>
        </is>
      </c>
      <c r="D35" t="n">
        <v>500</v>
      </c>
      <c r="E35" t="n">
        <v>508</v>
      </c>
      <c r="F35" s="3" t="n">
        <v>322.6299806410431</v>
      </c>
      <c r="G35" s="3" t="n">
        <v>2299.609524188348</v>
      </c>
      <c r="H35" s="3" t="n">
        <v>3.330668899987359</v>
      </c>
      <c r="I35" t="n">
        <v>63</v>
      </c>
      <c r="J35" t="n">
        <v>504</v>
      </c>
      <c r="K35" t="n">
        <v>4</v>
      </c>
      <c r="L35" s="4" t="n">
        <v>0.9921259842519685</v>
      </c>
      <c r="M35" s="3" t="n">
        <v>0.1174664631609349</v>
      </c>
      <c r="N35" s="3" t="n">
        <v>-0.01503854077987683</v>
      </c>
      <c r="O35" s="3" t="n">
        <v>5.12111080382608</v>
      </c>
      <c r="P35" s="4" t="n">
        <v>0.8095238095238095</v>
      </c>
      <c r="Q35" t="n">
        <v>17</v>
      </c>
      <c r="R35" t="n">
        <v>17</v>
      </c>
      <c r="S35" t="n">
        <v>17</v>
      </c>
      <c r="T35" t="n">
        <v>12</v>
      </c>
      <c r="U35" t="n">
        <v>136</v>
      </c>
      <c r="V35" t="n">
        <v>136</v>
      </c>
      <c r="W35" t="n">
        <v>136</v>
      </c>
      <c r="X35" t="n">
        <v>96</v>
      </c>
      <c r="Y35" t="inlineStr">
        <is>
          <t>P1:17, P2:17, P3:17, P0:12</t>
        </is>
      </c>
      <c r="Z35" t="n">
        <v/>
      </c>
      <c r="AA35" t="n">
        <v/>
      </c>
      <c r="AB35" t="n">
        <v/>
      </c>
    </row>
    <row r="36">
      <c r="A36" t="n">
        <v>7</v>
      </c>
      <c r="B36" t="inlineStr">
        <is>
          <t>RRP_SA</t>
        </is>
      </c>
      <c r="C36" t="inlineStr">
        <is>
          <t>SA</t>
        </is>
      </c>
      <c r="D36" t="n">
        <v>500</v>
      </c>
      <c r="E36" t="n">
        <v>516</v>
      </c>
      <c r="F36" s="3" t="n">
        <v>365.4415705482161</v>
      </c>
      <c r="G36" s="3" t="n">
        <v>2563.114306369157</v>
      </c>
      <c r="H36" s="3" t="n">
        <v>54.03803110000445</v>
      </c>
      <c r="I36" t="n">
        <v>63</v>
      </c>
      <c r="J36" t="n">
        <v>504</v>
      </c>
      <c r="K36" t="n">
        <v>12</v>
      </c>
      <c r="L36" s="4" t="n">
        <v>0.9767441860465116</v>
      </c>
      <c r="M36" s="3" t="n">
        <v>0.1772791910425202</v>
      </c>
      <c r="N36" s="3" t="n">
        <v>-0.02257871561855623</v>
      </c>
      <c r="O36" s="3" t="n">
        <v>5.800659849971684</v>
      </c>
      <c r="P36" s="4" t="n">
        <v>0.873015873015873</v>
      </c>
      <c r="Q36" t="n">
        <v>21</v>
      </c>
      <c r="R36" t="n">
        <v>18</v>
      </c>
      <c r="S36" t="n">
        <v>16</v>
      </c>
      <c r="T36" t="n">
        <v>8</v>
      </c>
      <c r="U36" t="n">
        <v>168</v>
      </c>
      <c r="V36" t="n">
        <v>144</v>
      </c>
      <c r="W36" t="n">
        <v>128</v>
      </c>
      <c r="X36" t="n">
        <v>64</v>
      </c>
      <c r="Y36" t="inlineStr">
        <is>
          <t>P1:21, P2:18, P3:16, P0:8</t>
        </is>
      </c>
      <c r="Z36" t="n">
        <v/>
      </c>
      <c r="AA36" t="n">
        <v/>
      </c>
      <c r="AB36" t="n">
        <v/>
      </c>
    </row>
    <row r="37">
      <c r="A37" t="n">
        <v>8</v>
      </c>
      <c r="B37" t="inlineStr">
        <is>
          <t>RRP_KMEANS</t>
        </is>
      </c>
      <c r="C37" t="inlineStr">
        <is>
          <t>KMeans</t>
        </is>
      </c>
      <c r="D37" t="n">
        <v>500</v>
      </c>
      <c r="E37" t="n">
        <v>512</v>
      </c>
      <c r="F37" s="3" t="n">
        <v>317.7125534402811</v>
      </c>
      <c r="G37" s="3" t="n">
        <v>2430.806152754741</v>
      </c>
      <c r="H37" s="3" t="n">
        <v>0.1461674000020139</v>
      </c>
      <c r="I37" t="n">
        <v>63</v>
      </c>
      <c r="J37" t="n">
        <v>504</v>
      </c>
      <c r="K37" t="n">
        <v>8</v>
      </c>
      <c r="L37" s="4" t="n">
        <v>0.984375</v>
      </c>
      <c r="M37" s="3" t="n">
        <v>0.09125287610127081</v>
      </c>
      <c r="N37" s="3" t="n">
        <v>0.05397878241609732</v>
      </c>
      <c r="O37" s="3" t="n">
        <v>5.043056403813985</v>
      </c>
      <c r="P37" s="4" t="n">
        <v>0.7777777777777778</v>
      </c>
      <c r="Q37" t="n">
        <v>18</v>
      </c>
      <c r="R37" t="n">
        <v>15</v>
      </c>
      <c r="S37" t="n">
        <v>16</v>
      </c>
      <c r="T37" t="n">
        <v>14</v>
      </c>
      <c r="U37" t="n">
        <v>144</v>
      </c>
      <c r="V37" t="n">
        <v>120</v>
      </c>
      <c r="W37" t="n">
        <v>128</v>
      </c>
      <c r="X37" t="n">
        <v>112</v>
      </c>
      <c r="Y37" t="inlineStr">
        <is>
          <t>P1:18, P2:15, P3:16, P0:14</t>
        </is>
      </c>
      <c r="Z37" t="n">
        <v/>
      </c>
      <c r="AA37" t="n">
        <v/>
      </c>
      <c r="AB37" t="n">
        <v/>
      </c>
    </row>
    <row r="38">
      <c r="A38" t="n">
        <v>8</v>
      </c>
      <c r="B38" t="inlineStr">
        <is>
          <t>RRP_KMEANS_VNS</t>
        </is>
      </c>
      <c r="C38" t="inlineStr">
        <is>
          <t>KMeans_VNS</t>
        </is>
      </c>
      <c r="D38" t="n">
        <v>500</v>
      </c>
      <c r="E38" t="n">
        <v>520</v>
      </c>
      <c r="F38" s="3" t="n">
        <v>351.6922478973401</v>
      </c>
      <c r="G38" s="3" t="n">
        <v>2587.500481302996</v>
      </c>
      <c r="H38" s="3" t="n">
        <v>0.5916856000112602</v>
      </c>
      <c r="I38" t="n">
        <v>64</v>
      </c>
      <c r="J38" t="n">
        <v>512</v>
      </c>
      <c r="K38" t="n">
        <v>8</v>
      </c>
      <c r="L38" s="4" t="n">
        <v>0.9846153846153847</v>
      </c>
      <c r="M38" s="3" t="n">
        <v>0.09617253208121299</v>
      </c>
      <c r="N38" s="3" t="n">
        <v>0.07577089492439455</v>
      </c>
      <c r="O38" s="3" t="n">
        <v>5.495191373395939</v>
      </c>
      <c r="P38" s="4" t="n">
        <v>0.859375</v>
      </c>
      <c r="Q38" t="n">
        <v>19</v>
      </c>
      <c r="R38" t="n">
        <v>18</v>
      </c>
      <c r="S38" t="n">
        <v>18</v>
      </c>
      <c r="T38" t="n">
        <v>9</v>
      </c>
      <c r="U38" t="n">
        <v>152</v>
      </c>
      <c r="V38" t="n">
        <v>144</v>
      </c>
      <c r="W38" t="n">
        <v>144</v>
      </c>
      <c r="X38" t="n">
        <v>72</v>
      </c>
      <c r="Y38" t="inlineStr">
        <is>
          <t>P1:19, P2:18, P3:18, P0:9</t>
        </is>
      </c>
      <c r="Z38" t="n">
        <v/>
      </c>
      <c r="AA38" t="n">
        <v/>
      </c>
      <c r="AB38" t="n">
        <v/>
      </c>
    </row>
    <row r="39">
      <c r="A39" t="n">
        <v>8</v>
      </c>
      <c r="B39" t="inlineStr">
        <is>
          <t>RRP_MS_KMEANS_VNS</t>
        </is>
      </c>
      <c r="C39" t="inlineStr">
        <is>
          <t>MS_KMeans_VNS</t>
        </is>
      </c>
      <c r="D39" t="n">
        <v>500</v>
      </c>
      <c r="E39" t="n">
        <v>520</v>
      </c>
      <c r="F39" s="3" t="n">
        <v>341.7253364907763</v>
      </c>
      <c r="G39" s="3" t="n">
        <v>2652.928509337863</v>
      </c>
      <c r="H39" s="3" t="n">
        <v>2.77039339998737</v>
      </c>
      <c r="I39" t="n">
        <v>64</v>
      </c>
      <c r="J39" t="n">
        <v>512</v>
      </c>
      <c r="K39" t="n">
        <v>8</v>
      </c>
      <c r="L39" s="4" t="n">
        <v>0.9846153846153847</v>
      </c>
      <c r="M39" s="3" t="n">
        <v>0.08583234663240302</v>
      </c>
      <c r="N39" s="3" t="n">
        <v>0.04245052601545148</v>
      </c>
      <c r="O39" s="3" t="n">
        <v>5.339458382668379</v>
      </c>
      <c r="P39" s="4" t="n">
        <v>0.84375</v>
      </c>
      <c r="Q39" t="n">
        <v>18</v>
      </c>
      <c r="R39" t="n">
        <v>18</v>
      </c>
      <c r="S39" t="n">
        <v>18</v>
      </c>
      <c r="T39" t="n">
        <v>10</v>
      </c>
      <c r="U39" t="n">
        <v>144</v>
      </c>
      <c r="V39" t="n">
        <v>144</v>
      </c>
      <c r="W39" t="n">
        <v>144</v>
      </c>
      <c r="X39" t="n">
        <v>80</v>
      </c>
      <c r="Y39" t="inlineStr">
        <is>
          <t>P1:18, P2:18, P3:18, P0:10</t>
        </is>
      </c>
      <c r="Z39" t="n">
        <v/>
      </c>
      <c r="AA39" t="n">
        <v/>
      </c>
      <c r="AB39" t="n">
        <v/>
      </c>
    </row>
    <row r="40">
      <c r="A40" t="n">
        <v>8</v>
      </c>
      <c r="B40" t="inlineStr">
        <is>
          <t>RRP_GA</t>
        </is>
      </c>
      <c r="C40" t="inlineStr">
        <is>
          <t>GA</t>
        </is>
      </c>
      <c r="D40" t="n">
        <v>500</v>
      </c>
      <c r="E40" t="n">
        <v>504</v>
      </c>
      <c r="F40" s="3" t="n">
        <v>331.7603033793135</v>
      </c>
      <c r="G40" s="3" t="n">
        <v>2631.369827567661</v>
      </c>
      <c r="H40" s="3" t="n">
        <v>2.603721899999073</v>
      </c>
      <c r="I40" t="n">
        <v>63</v>
      </c>
      <c r="J40" t="n">
        <v>504</v>
      </c>
      <c r="K40" t="n">
        <v>0</v>
      </c>
      <c r="L40" s="4" t="n">
        <v>1</v>
      </c>
      <c r="M40" s="3" t="n">
        <v>0.0760941652973096</v>
      </c>
      <c r="N40" s="3" t="n">
        <v>0.03166243734978274</v>
      </c>
      <c r="O40" s="3" t="n">
        <v>5.266036561576405</v>
      </c>
      <c r="P40" s="4" t="n">
        <v>0.8412698412698413</v>
      </c>
      <c r="Q40" t="n">
        <v>17</v>
      </c>
      <c r="R40" t="n">
        <v>18</v>
      </c>
      <c r="S40" t="n">
        <v>18</v>
      </c>
      <c r="T40" t="n">
        <v>10</v>
      </c>
      <c r="U40" t="n">
        <v>136</v>
      </c>
      <c r="V40" t="n">
        <v>144</v>
      </c>
      <c r="W40" t="n">
        <v>144</v>
      </c>
      <c r="X40" t="n">
        <v>80</v>
      </c>
      <c r="Y40" t="inlineStr">
        <is>
          <t>P1:17, P2:18, P3:18, P0:10</t>
        </is>
      </c>
      <c r="Z40" t="n">
        <v/>
      </c>
      <c r="AA40" t="n">
        <v/>
      </c>
      <c r="AB40" t="n">
        <v/>
      </c>
    </row>
    <row r="41">
      <c r="A41" t="n">
        <v>8</v>
      </c>
      <c r="B41" t="inlineStr">
        <is>
          <t>RRP_SA</t>
        </is>
      </c>
      <c r="C41" t="inlineStr">
        <is>
          <t>SA</t>
        </is>
      </c>
      <c r="D41" t="n">
        <v>500</v>
      </c>
      <c r="E41" t="n">
        <v>512</v>
      </c>
      <c r="F41" s="3" t="n">
        <v>374.3731286950499</v>
      </c>
      <c r="G41" s="3" t="n">
        <v>2937.487435064207</v>
      </c>
      <c r="H41" s="3" t="n">
        <v>46.64161910000257</v>
      </c>
      <c r="I41" t="n">
        <v>63</v>
      </c>
      <c r="J41" t="n">
        <v>504</v>
      </c>
      <c r="K41" t="n">
        <v>8</v>
      </c>
      <c r="L41" s="4" t="n">
        <v>0.984375</v>
      </c>
      <c r="M41" s="3" t="n">
        <v>0.1990067634762362</v>
      </c>
      <c r="N41" s="3" t="n">
        <v>0.03496841533492658</v>
      </c>
      <c r="O41" s="3" t="n">
        <v>5.942430614207141</v>
      </c>
      <c r="P41" s="4" t="n">
        <v>0.9047619047619048</v>
      </c>
      <c r="Q41" t="n">
        <v>21</v>
      </c>
      <c r="R41" t="n">
        <v>19</v>
      </c>
      <c r="S41" t="n">
        <v>17</v>
      </c>
      <c r="T41" t="n">
        <v>6</v>
      </c>
      <c r="U41" t="n">
        <v>168</v>
      </c>
      <c r="V41" t="n">
        <v>152</v>
      </c>
      <c r="W41" t="n">
        <v>136</v>
      </c>
      <c r="X41" t="n">
        <v>48</v>
      </c>
      <c r="Y41" t="inlineStr">
        <is>
          <t>P1:21, P2:19, P3:17, P0:6</t>
        </is>
      </c>
      <c r="Z41" t="n">
        <v/>
      </c>
      <c r="AA41" t="n">
        <v/>
      </c>
      <c r="AB41" t="n">
        <v/>
      </c>
    </row>
    <row r="42">
      <c r="A42" t="n">
        <v>9</v>
      </c>
      <c r="B42" t="inlineStr">
        <is>
          <t>RRP_KMEANS</t>
        </is>
      </c>
      <c r="C42" t="inlineStr">
        <is>
          <t>KMeans</t>
        </is>
      </c>
      <c r="D42" t="n">
        <v>500</v>
      </c>
      <c r="E42" t="n">
        <v>508</v>
      </c>
      <c r="F42" s="3" t="n">
        <v>289.7558415708951</v>
      </c>
      <c r="G42" s="3" t="n">
        <v>2720.561994325636</v>
      </c>
      <c r="H42" s="3" t="n">
        <v>0.1640579999948386</v>
      </c>
      <c r="I42" t="n">
        <v>61</v>
      </c>
      <c r="J42" t="n">
        <v>488</v>
      </c>
      <c r="K42" t="n">
        <v>20</v>
      </c>
      <c r="L42" s="4" t="n">
        <v>0.9606299212598425</v>
      </c>
      <c r="M42" s="3" t="n">
        <v>0.0800519439687891</v>
      </c>
      <c r="N42" s="3" t="n">
        <v>-0.01232221277924028</v>
      </c>
      <c r="O42" s="3" t="n">
        <v>4.750095763457297</v>
      </c>
      <c r="P42" s="4" t="n">
        <v>0.7704918032786885</v>
      </c>
      <c r="Q42" t="n">
        <v>14</v>
      </c>
      <c r="R42" t="n">
        <v>17</v>
      </c>
      <c r="S42" t="n">
        <v>16</v>
      </c>
      <c r="T42" t="n">
        <v>14</v>
      </c>
      <c r="U42" t="n">
        <v>112</v>
      </c>
      <c r="V42" t="n">
        <v>136</v>
      </c>
      <c r="W42" t="n">
        <v>128</v>
      </c>
      <c r="X42" t="n">
        <v>112</v>
      </c>
      <c r="Y42" t="inlineStr">
        <is>
          <t>P1:14, P2:17, P3:16, P0:14</t>
        </is>
      </c>
      <c r="Z42" t="n">
        <v/>
      </c>
      <c r="AA42" t="n">
        <v/>
      </c>
      <c r="AB42" t="n">
        <v/>
      </c>
    </row>
    <row r="43">
      <c r="A43" t="n">
        <v>9</v>
      </c>
      <c r="B43" t="inlineStr">
        <is>
          <t>RRP_KMEANS_VNS</t>
        </is>
      </c>
      <c r="C43" t="inlineStr">
        <is>
          <t>KMeans_VNS</t>
        </is>
      </c>
      <c r="D43" t="n">
        <v>500</v>
      </c>
      <c r="E43" t="n">
        <v>508</v>
      </c>
      <c r="F43" s="3" t="n">
        <v>321.674311780171</v>
      </c>
      <c r="G43" s="3" t="n">
        <v>2909.174793083168</v>
      </c>
      <c r="H43" s="3" t="n">
        <v>0.7428441000083694</v>
      </c>
      <c r="I43" t="n">
        <v>62</v>
      </c>
      <c r="J43" t="n">
        <v>496</v>
      </c>
      <c r="K43" t="n">
        <v>12</v>
      </c>
      <c r="L43" s="4" t="n">
        <v>0.9763779527559056</v>
      </c>
      <c r="M43" s="3" t="n">
        <v>0.1050607160738519</v>
      </c>
      <c r="N43" s="3" t="n">
        <v>0.03925422363252295</v>
      </c>
      <c r="O43" s="3" t="n">
        <v>5.188295351293081</v>
      </c>
      <c r="P43" s="4" t="n">
        <v>0.8387096774193549</v>
      </c>
      <c r="Q43" t="n">
        <v>16</v>
      </c>
      <c r="R43" t="n">
        <v>18</v>
      </c>
      <c r="S43" t="n">
        <v>18</v>
      </c>
      <c r="T43" t="n">
        <v>10</v>
      </c>
      <c r="U43" t="n">
        <v>128</v>
      </c>
      <c r="V43" t="n">
        <v>144</v>
      </c>
      <c r="W43" t="n">
        <v>144</v>
      </c>
      <c r="X43" t="n">
        <v>80</v>
      </c>
      <c r="Y43" t="inlineStr">
        <is>
          <t>P1:16, P2:18, P3:18, P0:10</t>
        </is>
      </c>
      <c r="Z43" t="n">
        <v/>
      </c>
      <c r="AA43" t="n">
        <v/>
      </c>
      <c r="AB43" t="n">
        <v/>
      </c>
    </row>
    <row r="44">
      <c r="A44" t="n">
        <v>9</v>
      </c>
      <c r="B44" t="inlineStr">
        <is>
          <t>RRP_MS_KMEANS_VNS</t>
        </is>
      </c>
      <c r="C44" t="inlineStr">
        <is>
          <t>MS_KMeans_VNS</t>
        </is>
      </c>
      <c r="D44" t="n">
        <v>500</v>
      </c>
      <c r="E44" t="n">
        <v>508</v>
      </c>
      <c r="F44" s="3" t="n">
        <v>335.6903898199978</v>
      </c>
      <c r="G44" s="3" t="n">
        <v>2988.618899157861</v>
      </c>
      <c r="H44" s="3" t="n">
        <v>4.707841700001154</v>
      </c>
      <c r="I44" t="n">
        <v>61</v>
      </c>
      <c r="J44" t="n">
        <v>488</v>
      </c>
      <c r="K44" t="n">
        <v>20</v>
      </c>
      <c r="L44" s="4" t="n">
        <v>0.9606299212598425</v>
      </c>
      <c r="M44" s="3" t="n">
        <v>0.1015115344269364</v>
      </c>
      <c r="N44" s="3" t="n">
        <v>0.04474098141491952</v>
      </c>
      <c r="O44" s="3" t="n">
        <v>5.503121144590128</v>
      </c>
      <c r="P44" s="4" t="n">
        <v>0.8688524590163934</v>
      </c>
      <c r="Q44" t="n">
        <v>18</v>
      </c>
      <c r="R44" t="n">
        <v>17</v>
      </c>
      <c r="S44" t="n">
        <v>18</v>
      </c>
      <c r="T44" t="n">
        <v>8</v>
      </c>
      <c r="U44" t="n">
        <v>144</v>
      </c>
      <c r="V44" t="n">
        <v>136</v>
      </c>
      <c r="W44" t="n">
        <v>144</v>
      </c>
      <c r="X44" t="n">
        <v>64</v>
      </c>
      <c r="Y44" t="inlineStr">
        <is>
          <t>P1:18, P2:17, P3:18, P0:8</t>
        </is>
      </c>
      <c r="Z44" t="n">
        <v/>
      </c>
      <c r="AA44" t="n">
        <v/>
      </c>
      <c r="AB44" t="n">
        <v/>
      </c>
    </row>
    <row r="45">
      <c r="A45" t="n">
        <v>9</v>
      </c>
      <c r="B45" t="inlineStr">
        <is>
          <t>RRP_GA</t>
        </is>
      </c>
      <c r="C45" t="inlineStr">
        <is>
          <t>GA</t>
        </is>
      </c>
      <c r="D45" t="n">
        <v>500</v>
      </c>
      <c r="E45" t="n">
        <v>500</v>
      </c>
      <c r="F45" s="3" t="n">
        <v>322.6926439062799</v>
      </c>
      <c r="G45" s="3" t="n">
        <v>2954.062471473941</v>
      </c>
      <c r="H45" s="3" t="n">
        <v>2.960567300004186</v>
      </c>
      <c r="I45" t="n">
        <v>60</v>
      </c>
      <c r="J45" t="n">
        <v>480</v>
      </c>
      <c r="K45" t="n">
        <v>20</v>
      </c>
      <c r="L45" s="4" t="n">
        <v>0.96</v>
      </c>
      <c r="M45" s="3" t="n">
        <v>0.1024520312400597</v>
      </c>
      <c r="N45" s="3" t="n">
        <v>0.01196022362267658</v>
      </c>
      <c r="O45" s="3" t="n">
        <v>5.378210731771332</v>
      </c>
      <c r="P45" s="4" t="n">
        <v>0.85</v>
      </c>
      <c r="Q45" t="n">
        <v>17</v>
      </c>
      <c r="R45" t="n">
        <v>17</v>
      </c>
      <c r="S45" t="n">
        <v>17</v>
      </c>
      <c r="T45" t="n">
        <v>9</v>
      </c>
      <c r="U45" t="n">
        <v>136</v>
      </c>
      <c r="V45" t="n">
        <v>136</v>
      </c>
      <c r="W45" t="n">
        <v>136</v>
      </c>
      <c r="X45" t="n">
        <v>72</v>
      </c>
      <c r="Y45" t="inlineStr">
        <is>
          <t>P1:17, P2:17, P3:17, P0:9</t>
        </is>
      </c>
      <c r="Z45" t="n">
        <v/>
      </c>
      <c r="AA45" t="n">
        <v/>
      </c>
      <c r="AB45" t="n">
        <v/>
      </c>
    </row>
    <row r="46">
      <c r="A46" t="n">
        <v>9</v>
      </c>
      <c r="B46" t="inlineStr">
        <is>
          <t>RRP_SA</t>
        </is>
      </c>
      <c r="C46" t="inlineStr">
        <is>
          <t>SA</t>
        </is>
      </c>
      <c r="D46" t="n">
        <v>500</v>
      </c>
      <c r="E46" t="n">
        <v>508</v>
      </c>
      <c r="F46" s="3" t="n">
        <v>376.4074129242939</v>
      </c>
      <c r="G46" s="3" t="n">
        <v>3313.894847988501</v>
      </c>
      <c r="H46" s="3" t="n">
        <v>50.56068239999877</v>
      </c>
      <c r="I46" t="n">
        <v>61</v>
      </c>
      <c r="J46" t="n">
        <v>488</v>
      </c>
      <c r="K46" t="n">
        <v>20</v>
      </c>
      <c r="L46" s="4" t="n">
        <v>0.9606299212598425</v>
      </c>
      <c r="M46" s="3" t="n">
        <v>0.194290844493839</v>
      </c>
      <c r="N46" s="3" t="n">
        <v>0.03655864290970575</v>
      </c>
      <c r="O46" s="3" t="n">
        <v>6.170613326627769</v>
      </c>
      <c r="P46" s="4" t="n">
        <v>0.9180327868852459</v>
      </c>
      <c r="Q46" t="n">
        <v>23</v>
      </c>
      <c r="R46" t="n">
        <v>16</v>
      </c>
      <c r="S46" t="n">
        <v>17</v>
      </c>
      <c r="T46" t="n">
        <v>5</v>
      </c>
      <c r="U46" t="n">
        <v>184</v>
      </c>
      <c r="V46" t="n">
        <v>128</v>
      </c>
      <c r="W46" t="n">
        <v>136</v>
      </c>
      <c r="X46" t="n">
        <v>40</v>
      </c>
      <c r="Y46" t="inlineStr">
        <is>
          <t>P1:23, P2:16, P3:17, P0:5</t>
        </is>
      </c>
      <c r="Z46" t="n">
        <v/>
      </c>
      <c r="AA46" t="n">
        <v/>
      </c>
      <c r="AB46" t="n">
        <v/>
      </c>
    </row>
    <row r="47">
      <c r="A47" t="n">
        <v>10</v>
      </c>
      <c r="B47" t="inlineStr">
        <is>
          <t>RRP_KMEANS</t>
        </is>
      </c>
      <c r="C47" t="inlineStr">
        <is>
          <t>KMeans</t>
        </is>
      </c>
      <c r="D47" t="n">
        <v>500</v>
      </c>
      <c r="E47" t="n">
        <v>520</v>
      </c>
      <c r="F47" s="3" t="n">
        <v>292.6974245132224</v>
      </c>
      <c r="G47" s="3" t="n">
        <v>3013.259418838858</v>
      </c>
      <c r="H47" s="3" t="n">
        <v>0.07905900001060218</v>
      </c>
      <c r="I47" t="n">
        <v>64</v>
      </c>
      <c r="J47" t="n">
        <v>512</v>
      </c>
      <c r="K47" t="n">
        <v>8</v>
      </c>
      <c r="L47" s="4" t="n">
        <v>0.9846153846153847</v>
      </c>
      <c r="M47" s="3" t="n">
        <v>0.09455483961801539</v>
      </c>
      <c r="N47" s="3" t="n">
        <v>-0.004543321534021096</v>
      </c>
      <c r="O47" s="3" t="n">
        <v>4.573397258019099</v>
      </c>
      <c r="P47" s="4" t="n">
        <v>0.75</v>
      </c>
      <c r="Q47" t="n">
        <v>14</v>
      </c>
      <c r="R47" t="n">
        <v>17</v>
      </c>
      <c r="S47" t="n">
        <v>17</v>
      </c>
      <c r="T47" t="n">
        <v>16</v>
      </c>
      <c r="U47" t="n">
        <v>112</v>
      </c>
      <c r="V47" t="n">
        <v>136</v>
      </c>
      <c r="W47" t="n">
        <v>136</v>
      </c>
      <c r="X47" t="n">
        <v>128</v>
      </c>
      <c r="Y47" t="inlineStr">
        <is>
          <t>P1:14, P2:17, P3:17, P0:16</t>
        </is>
      </c>
      <c r="Z47" t="n">
        <v/>
      </c>
      <c r="AA47" t="n">
        <v/>
      </c>
      <c r="AB47" t="n">
        <v/>
      </c>
    </row>
    <row r="48">
      <c r="A48" t="n">
        <v>10</v>
      </c>
      <c r="B48" t="inlineStr">
        <is>
          <t>RRP_KMEANS_VNS</t>
        </is>
      </c>
      <c r="C48" t="inlineStr">
        <is>
          <t>KMeans_VNS</t>
        </is>
      </c>
      <c r="D48" t="n">
        <v>500</v>
      </c>
      <c r="E48" t="n">
        <v>512</v>
      </c>
      <c r="F48" s="3" t="n">
        <v>314.6866679876972</v>
      </c>
      <c r="G48" s="3" t="n">
        <v>3223.861461070865</v>
      </c>
      <c r="H48" s="3" t="n">
        <v>0.5464567999879364</v>
      </c>
      <c r="I48" t="n">
        <v>64</v>
      </c>
      <c r="J48" t="n">
        <v>512</v>
      </c>
      <c r="K48" t="n">
        <v>0</v>
      </c>
      <c r="L48" s="4" t="n">
        <v>1</v>
      </c>
      <c r="M48" s="3" t="n">
        <v>0.09791625384463387</v>
      </c>
      <c r="N48" s="3" t="n">
        <v>-0.03621043378705231</v>
      </c>
      <c r="O48" s="3" t="n">
        <v>4.916979187307769</v>
      </c>
      <c r="P48" s="4" t="n">
        <v>0.78125</v>
      </c>
      <c r="Q48" t="n">
        <v>15</v>
      </c>
      <c r="R48" t="n">
        <v>20</v>
      </c>
      <c r="S48" t="n">
        <v>15</v>
      </c>
      <c r="T48" t="n">
        <v>14</v>
      </c>
      <c r="U48" t="n">
        <v>120</v>
      </c>
      <c r="V48" t="n">
        <v>160</v>
      </c>
      <c r="W48" t="n">
        <v>120</v>
      </c>
      <c r="X48" t="n">
        <v>112</v>
      </c>
      <c r="Y48" t="inlineStr">
        <is>
          <t>P1:15, P2:20, P3:15, P0:14</t>
        </is>
      </c>
      <c r="Z48" t="n">
        <v/>
      </c>
      <c r="AA48" t="n">
        <v/>
      </c>
      <c r="AB48" t="n">
        <v/>
      </c>
    </row>
    <row r="49">
      <c r="A49" t="n">
        <v>10</v>
      </c>
      <c r="B49" t="inlineStr">
        <is>
          <t>RRP_MS_KMEANS_VNS</t>
        </is>
      </c>
      <c r="C49" t="inlineStr">
        <is>
          <t>MS_KMeans_VNS</t>
        </is>
      </c>
      <c r="D49" t="n">
        <v>500</v>
      </c>
      <c r="E49" t="n">
        <v>520</v>
      </c>
      <c r="F49" s="3" t="n">
        <v>313.6476297489018</v>
      </c>
      <c r="G49" s="3" t="n">
        <v>3302.266528906763</v>
      </c>
      <c r="H49" s="3" t="n">
        <v>2.779632600009791</v>
      </c>
      <c r="I49" t="n">
        <v>64</v>
      </c>
      <c r="J49" t="n">
        <v>512</v>
      </c>
      <c r="K49" t="n">
        <v>8</v>
      </c>
      <c r="L49" s="4" t="n">
        <v>0.9846153846153847</v>
      </c>
      <c r="M49" s="3" t="n">
        <v>0.1101157034681934</v>
      </c>
      <c r="N49" s="3" t="n">
        <v>-0.05111921703309799</v>
      </c>
      <c r="O49" s="3" t="n">
        <v>4.900744214826591</v>
      </c>
      <c r="P49" s="4" t="n">
        <v>0.765625</v>
      </c>
      <c r="Q49" t="n">
        <v>17</v>
      </c>
      <c r="R49" t="n">
        <v>16</v>
      </c>
      <c r="S49" t="n">
        <v>16</v>
      </c>
      <c r="T49" t="n">
        <v>15</v>
      </c>
      <c r="U49" t="n">
        <v>136</v>
      </c>
      <c r="V49" t="n">
        <v>128</v>
      </c>
      <c r="W49" t="n">
        <v>128</v>
      </c>
      <c r="X49" t="n">
        <v>120</v>
      </c>
      <c r="Y49" t="inlineStr">
        <is>
          <t>P1:17, P2:16, P3:16, P0:15</t>
        </is>
      </c>
      <c r="Z49" t="n">
        <v/>
      </c>
      <c r="AA49" t="n">
        <v/>
      </c>
      <c r="AB49" t="n">
        <v/>
      </c>
    </row>
    <row r="50">
      <c r="A50" t="n">
        <v>10</v>
      </c>
      <c r="B50" t="inlineStr">
        <is>
          <t>RRP_GA</t>
        </is>
      </c>
      <c r="C50" t="inlineStr">
        <is>
          <t>GA</t>
        </is>
      </c>
      <c r="D50" t="n">
        <v>500</v>
      </c>
      <c r="E50" t="n">
        <v>520</v>
      </c>
      <c r="F50" s="3" t="n">
        <v>325.7223794797766</v>
      </c>
      <c r="G50" s="3" t="n">
        <v>3279.784850953718</v>
      </c>
      <c r="H50" s="3" t="n">
        <v>3.203406799992081</v>
      </c>
      <c r="I50" t="n">
        <v>64</v>
      </c>
      <c r="J50" t="n">
        <v>512</v>
      </c>
      <c r="K50" t="n">
        <v>8</v>
      </c>
      <c r="L50" s="4" t="n">
        <v>0.9846153846153847</v>
      </c>
      <c r="M50" s="3" t="n">
        <v>0.08675641256981123</v>
      </c>
      <c r="N50" s="3" t="n">
        <v>0.0332969073076574</v>
      </c>
      <c r="O50" s="3" t="n">
        <v>5.08941217937151</v>
      </c>
      <c r="P50" s="4" t="n">
        <v>0.8125</v>
      </c>
      <c r="Q50" t="n">
        <v>17</v>
      </c>
      <c r="R50" t="n">
        <v>17</v>
      </c>
      <c r="S50" t="n">
        <v>18</v>
      </c>
      <c r="T50" t="n">
        <v>12</v>
      </c>
      <c r="U50" t="n">
        <v>136</v>
      </c>
      <c r="V50" t="n">
        <v>136</v>
      </c>
      <c r="W50" t="n">
        <v>144</v>
      </c>
      <c r="X50" t="n">
        <v>96</v>
      </c>
      <c r="Y50" t="inlineStr">
        <is>
          <t>P1:17, P2:17, P3:18, P0:12</t>
        </is>
      </c>
      <c r="Z50" t="n">
        <v/>
      </c>
      <c r="AA50" t="n">
        <v/>
      </c>
      <c r="AB50" t="n">
        <v/>
      </c>
    </row>
    <row r="51">
      <c r="A51" t="n">
        <v>10</v>
      </c>
      <c r="B51" t="inlineStr">
        <is>
          <t>RRP_SA</t>
        </is>
      </c>
      <c r="C51" t="inlineStr">
        <is>
          <t>SA</t>
        </is>
      </c>
      <c r="D51" t="n">
        <v>500</v>
      </c>
      <c r="E51" t="n">
        <v>520</v>
      </c>
      <c r="F51" s="3" t="n">
        <v>361.3144634645006</v>
      </c>
      <c r="G51" s="3" t="n">
        <v>3675.209311453001</v>
      </c>
      <c r="H51" s="3" t="n">
        <v>51.87924639999983</v>
      </c>
      <c r="I51" t="n">
        <v>63</v>
      </c>
      <c r="J51" t="n">
        <v>504</v>
      </c>
      <c r="K51" t="n">
        <v>16</v>
      </c>
      <c r="L51" s="4" t="n">
        <v>0.9692307692307692</v>
      </c>
      <c r="M51" s="3" t="n">
        <v>0.2176306461903026</v>
      </c>
      <c r="N51" s="3" t="n">
        <v>-0.02633842085372058</v>
      </c>
      <c r="O51" s="3" t="n">
        <v>5.735150213722232</v>
      </c>
      <c r="P51" s="4" t="n">
        <v>0.873015873015873</v>
      </c>
      <c r="Q51" t="n">
        <v>20</v>
      </c>
      <c r="R51" t="n">
        <v>19</v>
      </c>
      <c r="S51" t="n">
        <v>16</v>
      </c>
      <c r="T51" t="n">
        <v>8</v>
      </c>
      <c r="U51" t="n">
        <v>160</v>
      </c>
      <c r="V51" t="n">
        <v>152</v>
      </c>
      <c r="W51" t="n">
        <v>128</v>
      </c>
      <c r="X51" t="n">
        <v>64</v>
      </c>
      <c r="Y51" t="inlineStr">
        <is>
          <t>P1:20, P2:19, P3:16, P0:8</t>
        </is>
      </c>
      <c r="Z51" t="n">
        <v/>
      </c>
      <c r="AA51" t="n">
        <v/>
      </c>
      <c r="AB5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method</t>
        </is>
      </c>
      <c r="B1" s="2" t="inlineStr">
        <is>
          <t>method_label</t>
        </is>
      </c>
      <c r="C1" s="2" t="inlineStr">
        <is>
          <t>total_reward</t>
        </is>
      </c>
      <c r="D1" s="2" t="inlineStr">
        <is>
          <t>final_cumulative_reward</t>
        </is>
      </c>
      <c r="E1" s="2" t="inlineStr">
        <is>
          <t>total_runtime</t>
        </is>
      </c>
      <c r="F1" s="2" t="inlineStr">
        <is>
          <t>avg_runtime</t>
        </is>
      </c>
      <c r="G1" s="2" t="inlineStr">
        <is>
          <t>total_packs</t>
        </is>
      </c>
      <c r="H1" s="2" t="inlineStr">
        <is>
          <t>total_used_cells</t>
        </is>
      </c>
      <c r="I1" s="2" t="inlineStr">
        <is>
          <t>final_leftover</t>
        </is>
      </c>
      <c r="J1" s="2" t="inlineStr">
        <is>
          <t>P1_cells_total</t>
        </is>
      </c>
      <c r="K1" s="2" t="inlineStr">
        <is>
          <t>P2_cells_total</t>
        </is>
      </c>
      <c r="L1" s="2" t="inlineStr">
        <is>
          <t>P3_cells_total</t>
        </is>
      </c>
      <c r="M1" s="2" t="inlineStr">
        <is>
          <t>P0_cells_total</t>
        </is>
      </c>
    </row>
    <row r="2">
      <c r="A2" t="inlineStr">
        <is>
          <t>RRP_KMEANS</t>
        </is>
      </c>
      <c r="B2" t="inlineStr">
        <is>
          <t>KMeans</t>
        </is>
      </c>
      <c r="C2" s="3">
        <f>SUMIFS(Round_Results!$F:$F,Round_Results!$B:$B,$A2)</f>
        <v/>
      </c>
      <c r="D2" s="3">
        <f>MAXIFS(Round_Results!$G:$G,Round_Results!$B:$B,$A2)</f>
        <v/>
      </c>
      <c r="E2" s="3">
        <f>SUMIFS(Round_Results!$H:$H,Round_Results!$B:$B,$A2)</f>
        <v/>
      </c>
      <c r="F2" s="3">
        <f>AVERAGEIFS(Round_Results!$H:$H,Round_Results!$B:$B,$A2)</f>
        <v/>
      </c>
      <c r="G2" s="3">
        <f>SUMIFS(Round_Results!$I:$I,Round_Results!$B:$B,$A2)</f>
        <v/>
      </c>
      <c r="H2" s="3">
        <f>SUMIFS(Round_Results!$J:$J,Round_Results!$B:$B,$A2)</f>
        <v/>
      </c>
      <c r="I2" s="3">
        <f>MAXIFS(Round_Results!$K:$K,Round_Results!$B:$B,$A2,Round_Results!$A:$A,10)</f>
        <v/>
      </c>
      <c r="J2" s="3">
        <f>SUMIFS(Round_Results!$U:$U,Round_Results!$B:$B,$A2)</f>
        <v/>
      </c>
      <c r="K2" s="3">
        <f>SUMIFS(Round_Results!$V:$V,Round_Results!$B:$B,$A2)</f>
        <v/>
      </c>
      <c r="L2" s="3">
        <f>SUMIFS(Round_Results!$W:$W,Round_Results!$B:$B,$A2)</f>
        <v/>
      </c>
      <c r="M2" s="3">
        <f>SUMIFS(Round_Results!$X:$X,Round_Results!$B:$B,$A2)</f>
        <v/>
      </c>
    </row>
    <row r="3">
      <c r="A3" t="inlineStr">
        <is>
          <t>RRP_KMEANS_VNS</t>
        </is>
      </c>
      <c r="B3" t="inlineStr">
        <is>
          <t>KMeans_VNS</t>
        </is>
      </c>
      <c r="C3" s="3">
        <f>SUMIFS(Round_Results!$F:$F,Round_Results!$B:$B,$A3)</f>
        <v/>
      </c>
      <c r="D3" s="3">
        <f>MAXIFS(Round_Results!$G:$G,Round_Results!$B:$B,$A3)</f>
        <v/>
      </c>
      <c r="E3" s="3">
        <f>SUMIFS(Round_Results!$H:$H,Round_Results!$B:$B,$A3)</f>
        <v/>
      </c>
      <c r="F3" s="3">
        <f>AVERAGEIFS(Round_Results!$H:$H,Round_Results!$B:$B,$A3)</f>
        <v/>
      </c>
      <c r="G3" s="3">
        <f>SUMIFS(Round_Results!$I:$I,Round_Results!$B:$B,$A3)</f>
        <v/>
      </c>
      <c r="H3" s="3">
        <f>SUMIFS(Round_Results!$J:$J,Round_Results!$B:$B,$A3)</f>
        <v/>
      </c>
      <c r="I3" s="3">
        <f>MAXIFS(Round_Results!$K:$K,Round_Results!$B:$B,$A3,Round_Results!$A:$A,10)</f>
        <v/>
      </c>
      <c r="J3" s="3">
        <f>SUMIFS(Round_Results!$U:$U,Round_Results!$B:$B,$A3)</f>
        <v/>
      </c>
      <c r="K3" s="3">
        <f>SUMIFS(Round_Results!$V:$V,Round_Results!$B:$B,$A3)</f>
        <v/>
      </c>
      <c r="L3" s="3">
        <f>SUMIFS(Round_Results!$W:$W,Round_Results!$B:$B,$A3)</f>
        <v/>
      </c>
      <c r="M3" s="3">
        <f>SUMIFS(Round_Results!$X:$X,Round_Results!$B:$B,$A3)</f>
        <v/>
      </c>
    </row>
    <row r="4">
      <c r="A4" t="inlineStr">
        <is>
          <t>RRP_MS_KMEANS_VNS</t>
        </is>
      </c>
      <c r="B4" t="inlineStr">
        <is>
          <t>MS_KMeans_VNS</t>
        </is>
      </c>
      <c r="C4" s="3">
        <f>SUMIFS(Round_Results!$F:$F,Round_Results!$B:$B,$A4)</f>
        <v/>
      </c>
      <c r="D4" s="3">
        <f>MAXIFS(Round_Results!$G:$G,Round_Results!$B:$B,$A4)</f>
        <v/>
      </c>
      <c r="E4" s="3">
        <f>SUMIFS(Round_Results!$H:$H,Round_Results!$B:$B,$A4)</f>
        <v/>
      </c>
      <c r="F4" s="3">
        <f>AVERAGEIFS(Round_Results!$H:$H,Round_Results!$B:$B,$A4)</f>
        <v/>
      </c>
      <c r="G4" s="3">
        <f>SUMIFS(Round_Results!$I:$I,Round_Results!$B:$B,$A4)</f>
        <v/>
      </c>
      <c r="H4" s="3">
        <f>SUMIFS(Round_Results!$J:$J,Round_Results!$B:$B,$A4)</f>
        <v/>
      </c>
      <c r="I4" s="3">
        <f>MAXIFS(Round_Results!$K:$K,Round_Results!$B:$B,$A4,Round_Results!$A:$A,10)</f>
        <v/>
      </c>
      <c r="J4" s="3">
        <f>SUMIFS(Round_Results!$U:$U,Round_Results!$B:$B,$A4)</f>
        <v/>
      </c>
      <c r="K4" s="3">
        <f>SUMIFS(Round_Results!$V:$V,Round_Results!$B:$B,$A4)</f>
        <v/>
      </c>
      <c r="L4" s="3">
        <f>SUMIFS(Round_Results!$W:$W,Round_Results!$B:$B,$A4)</f>
        <v/>
      </c>
      <c r="M4" s="3">
        <f>SUMIFS(Round_Results!$X:$X,Round_Results!$B:$B,$A4)</f>
        <v/>
      </c>
    </row>
    <row r="5">
      <c r="A5" t="inlineStr">
        <is>
          <t>RRP_GA</t>
        </is>
      </c>
      <c r="B5" t="inlineStr">
        <is>
          <t>GA</t>
        </is>
      </c>
      <c r="C5" s="3">
        <f>SUMIFS(Round_Results!$F:$F,Round_Results!$B:$B,$A5)</f>
        <v/>
      </c>
      <c r="D5" s="3">
        <f>MAXIFS(Round_Results!$G:$G,Round_Results!$B:$B,$A5)</f>
        <v/>
      </c>
      <c r="E5" s="3">
        <f>SUMIFS(Round_Results!$H:$H,Round_Results!$B:$B,$A5)</f>
        <v/>
      </c>
      <c r="F5" s="3">
        <f>AVERAGEIFS(Round_Results!$H:$H,Round_Results!$B:$B,$A5)</f>
        <v/>
      </c>
      <c r="G5" s="3">
        <f>SUMIFS(Round_Results!$I:$I,Round_Results!$B:$B,$A5)</f>
        <v/>
      </c>
      <c r="H5" s="3">
        <f>SUMIFS(Round_Results!$J:$J,Round_Results!$B:$B,$A5)</f>
        <v/>
      </c>
      <c r="I5" s="3">
        <f>MAXIFS(Round_Results!$K:$K,Round_Results!$B:$B,$A5,Round_Results!$A:$A,10)</f>
        <v/>
      </c>
      <c r="J5" s="3">
        <f>SUMIFS(Round_Results!$U:$U,Round_Results!$B:$B,$A5)</f>
        <v/>
      </c>
      <c r="K5" s="3">
        <f>SUMIFS(Round_Results!$V:$V,Round_Results!$B:$B,$A5)</f>
        <v/>
      </c>
      <c r="L5" s="3">
        <f>SUMIFS(Round_Results!$W:$W,Round_Results!$B:$B,$A5)</f>
        <v/>
      </c>
      <c r="M5" s="3">
        <f>SUMIFS(Round_Results!$X:$X,Round_Results!$B:$B,$A5)</f>
        <v/>
      </c>
    </row>
    <row r="6">
      <c r="A6" t="inlineStr">
        <is>
          <t>RRP_SA</t>
        </is>
      </c>
      <c r="B6" t="inlineStr">
        <is>
          <t>SA</t>
        </is>
      </c>
      <c r="C6" s="3">
        <f>SUMIFS(Round_Results!$F:$F,Round_Results!$B:$B,$A6)</f>
        <v/>
      </c>
      <c r="D6" s="3">
        <f>MAXIFS(Round_Results!$G:$G,Round_Results!$B:$B,$A6)</f>
        <v/>
      </c>
      <c r="E6" s="3">
        <f>SUMIFS(Round_Results!$H:$H,Round_Results!$B:$B,$A6)</f>
        <v/>
      </c>
      <c r="F6" s="3">
        <f>AVERAGEIFS(Round_Results!$H:$H,Round_Results!$B:$B,$A6)</f>
        <v/>
      </c>
      <c r="G6" s="3">
        <f>SUMIFS(Round_Results!$I:$I,Round_Results!$B:$B,$A6)</f>
        <v/>
      </c>
      <c r="H6" s="3">
        <f>SUMIFS(Round_Results!$J:$J,Round_Results!$B:$B,$A6)</f>
        <v/>
      </c>
      <c r="I6" s="3">
        <f>MAXIFS(Round_Results!$K:$K,Round_Results!$B:$B,$A6,Round_Results!$A:$A,10)</f>
        <v/>
      </c>
      <c r="J6" s="3">
        <f>SUMIFS(Round_Results!$U:$U,Round_Results!$B:$B,$A6)</f>
        <v/>
      </c>
      <c r="K6" s="3">
        <f>SUMIFS(Round_Results!$V:$V,Round_Results!$B:$B,$A6)</f>
        <v/>
      </c>
      <c r="L6" s="3">
        <f>SUMIFS(Round_Results!$W:$W,Round_Results!$B:$B,$A6)</f>
        <v/>
      </c>
      <c r="M6" s="3">
        <f>SUMIFS(Round_Results!$X:$X,Round_Results!$B:$B,$A6)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SUMIFS(Round_Results!$F:$F,Round_Results!$B:$B,B$1,Round_Results!$A:$A,"&lt;="&amp;$A2)</f>
        <v/>
      </c>
      <c r="C2" s="3">
        <f>SUMIFS(Round_Results!$F:$F,Round_Results!$B:$B,C$1,Round_Results!$A:$A,"&lt;="&amp;$A2)</f>
        <v/>
      </c>
      <c r="D2" s="3">
        <f>SUMIFS(Round_Results!$F:$F,Round_Results!$B:$B,D$1,Round_Results!$A:$A,"&lt;="&amp;$A2)</f>
        <v/>
      </c>
      <c r="E2" s="3">
        <f>SUMIFS(Round_Results!$F:$F,Round_Results!$B:$B,E$1,Round_Results!$A:$A,"&lt;="&amp;$A2)</f>
        <v/>
      </c>
      <c r="F2" s="3">
        <f>SUMIFS(Round_Results!$F:$F,Round_Results!$B:$B,F$1,Round_Results!$A:$A,"&lt;="&amp;$A2)</f>
        <v/>
      </c>
    </row>
    <row r="3">
      <c r="A3" t="n">
        <v>2</v>
      </c>
      <c r="B3" s="3">
        <f>SUMIFS(Round_Results!$F:$F,Round_Results!$B:$B,B$1,Round_Results!$A:$A,"&lt;="&amp;$A3)</f>
        <v/>
      </c>
      <c r="C3" s="3">
        <f>SUMIFS(Round_Results!$F:$F,Round_Results!$B:$B,C$1,Round_Results!$A:$A,"&lt;="&amp;$A3)</f>
        <v/>
      </c>
      <c r="D3" s="3">
        <f>SUMIFS(Round_Results!$F:$F,Round_Results!$B:$B,D$1,Round_Results!$A:$A,"&lt;="&amp;$A3)</f>
        <v/>
      </c>
      <c r="E3" s="3">
        <f>SUMIFS(Round_Results!$F:$F,Round_Results!$B:$B,E$1,Round_Results!$A:$A,"&lt;="&amp;$A3)</f>
        <v/>
      </c>
      <c r="F3" s="3">
        <f>SUMIFS(Round_Results!$F:$F,Round_Results!$B:$B,F$1,Round_Results!$A:$A,"&lt;="&amp;$A3)</f>
        <v/>
      </c>
    </row>
    <row r="4">
      <c r="A4" t="n">
        <v>3</v>
      </c>
      <c r="B4" s="3">
        <f>SUMIFS(Round_Results!$F:$F,Round_Results!$B:$B,B$1,Round_Results!$A:$A,"&lt;="&amp;$A4)</f>
        <v/>
      </c>
      <c r="C4" s="3">
        <f>SUMIFS(Round_Results!$F:$F,Round_Results!$B:$B,C$1,Round_Results!$A:$A,"&lt;="&amp;$A4)</f>
        <v/>
      </c>
      <c r="D4" s="3">
        <f>SUMIFS(Round_Results!$F:$F,Round_Results!$B:$B,D$1,Round_Results!$A:$A,"&lt;="&amp;$A4)</f>
        <v/>
      </c>
      <c r="E4" s="3">
        <f>SUMIFS(Round_Results!$F:$F,Round_Results!$B:$B,E$1,Round_Results!$A:$A,"&lt;="&amp;$A4)</f>
        <v/>
      </c>
      <c r="F4" s="3">
        <f>SUMIFS(Round_Results!$F:$F,Round_Results!$B:$B,F$1,Round_Results!$A:$A,"&lt;="&amp;$A4)</f>
        <v/>
      </c>
    </row>
    <row r="5">
      <c r="A5" t="n">
        <v>4</v>
      </c>
      <c r="B5" s="3">
        <f>SUMIFS(Round_Results!$F:$F,Round_Results!$B:$B,B$1,Round_Results!$A:$A,"&lt;="&amp;$A5)</f>
        <v/>
      </c>
      <c r="C5" s="3">
        <f>SUMIFS(Round_Results!$F:$F,Round_Results!$B:$B,C$1,Round_Results!$A:$A,"&lt;="&amp;$A5)</f>
        <v/>
      </c>
      <c r="D5" s="3">
        <f>SUMIFS(Round_Results!$F:$F,Round_Results!$B:$B,D$1,Round_Results!$A:$A,"&lt;="&amp;$A5)</f>
        <v/>
      </c>
      <c r="E5" s="3">
        <f>SUMIFS(Round_Results!$F:$F,Round_Results!$B:$B,E$1,Round_Results!$A:$A,"&lt;="&amp;$A5)</f>
        <v/>
      </c>
      <c r="F5" s="3">
        <f>SUMIFS(Round_Results!$F:$F,Round_Results!$B:$B,F$1,Round_Results!$A:$A,"&lt;="&amp;$A5)</f>
        <v/>
      </c>
    </row>
    <row r="6">
      <c r="A6" t="n">
        <v>5</v>
      </c>
      <c r="B6" s="3">
        <f>SUMIFS(Round_Results!$F:$F,Round_Results!$B:$B,B$1,Round_Results!$A:$A,"&lt;="&amp;$A6)</f>
        <v/>
      </c>
      <c r="C6" s="3">
        <f>SUMIFS(Round_Results!$F:$F,Round_Results!$B:$B,C$1,Round_Results!$A:$A,"&lt;="&amp;$A6)</f>
        <v/>
      </c>
      <c r="D6" s="3">
        <f>SUMIFS(Round_Results!$F:$F,Round_Results!$B:$B,D$1,Round_Results!$A:$A,"&lt;="&amp;$A6)</f>
        <v/>
      </c>
      <c r="E6" s="3">
        <f>SUMIFS(Round_Results!$F:$F,Round_Results!$B:$B,E$1,Round_Results!$A:$A,"&lt;="&amp;$A6)</f>
        <v/>
      </c>
      <c r="F6" s="3">
        <f>SUMIFS(Round_Results!$F:$F,Round_Results!$B:$B,F$1,Round_Results!$A:$A,"&lt;="&amp;$A6)</f>
        <v/>
      </c>
    </row>
    <row r="7">
      <c r="A7" t="n">
        <v>6</v>
      </c>
      <c r="B7" s="3">
        <f>SUMIFS(Round_Results!$F:$F,Round_Results!$B:$B,B$1,Round_Results!$A:$A,"&lt;="&amp;$A7)</f>
        <v/>
      </c>
      <c r="C7" s="3">
        <f>SUMIFS(Round_Results!$F:$F,Round_Results!$B:$B,C$1,Round_Results!$A:$A,"&lt;="&amp;$A7)</f>
        <v/>
      </c>
      <c r="D7" s="3">
        <f>SUMIFS(Round_Results!$F:$F,Round_Results!$B:$B,D$1,Round_Results!$A:$A,"&lt;="&amp;$A7)</f>
        <v/>
      </c>
      <c r="E7" s="3">
        <f>SUMIFS(Round_Results!$F:$F,Round_Results!$B:$B,E$1,Round_Results!$A:$A,"&lt;="&amp;$A7)</f>
        <v/>
      </c>
      <c r="F7" s="3">
        <f>SUMIFS(Round_Results!$F:$F,Round_Results!$B:$B,F$1,Round_Results!$A:$A,"&lt;="&amp;$A7)</f>
        <v/>
      </c>
    </row>
    <row r="8">
      <c r="A8" t="n">
        <v>7</v>
      </c>
      <c r="B8" s="3">
        <f>SUMIFS(Round_Results!$F:$F,Round_Results!$B:$B,B$1,Round_Results!$A:$A,"&lt;="&amp;$A8)</f>
        <v/>
      </c>
      <c r="C8" s="3">
        <f>SUMIFS(Round_Results!$F:$F,Round_Results!$B:$B,C$1,Round_Results!$A:$A,"&lt;="&amp;$A8)</f>
        <v/>
      </c>
      <c r="D8" s="3">
        <f>SUMIFS(Round_Results!$F:$F,Round_Results!$B:$B,D$1,Round_Results!$A:$A,"&lt;="&amp;$A8)</f>
        <v/>
      </c>
      <c r="E8" s="3">
        <f>SUMIFS(Round_Results!$F:$F,Round_Results!$B:$B,E$1,Round_Results!$A:$A,"&lt;="&amp;$A8)</f>
        <v/>
      </c>
      <c r="F8" s="3">
        <f>SUMIFS(Round_Results!$F:$F,Round_Results!$B:$B,F$1,Round_Results!$A:$A,"&lt;="&amp;$A8)</f>
        <v/>
      </c>
    </row>
    <row r="9">
      <c r="A9" t="n">
        <v>8</v>
      </c>
      <c r="B9" s="3">
        <f>SUMIFS(Round_Results!$F:$F,Round_Results!$B:$B,B$1,Round_Results!$A:$A,"&lt;="&amp;$A9)</f>
        <v/>
      </c>
      <c r="C9" s="3">
        <f>SUMIFS(Round_Results!$F:$F,Round_Results!$B:$B,C$1,Round_Results!$A:$A,"&lt;="&amp;$A9)</f>
        <v/>
      </c>
      <c r="D9" s="3">
        <f>SUMIFS(Round_Results!$F:$F,Round_Results!$B:$B,D$1,Round_Results!$A:$A,"&lt;="&amp;$A9)</f>
        <v/>
      </c>
      <c r="E9" s="3">
        <f>SUMIFS(Round_Results!$F:$F,Round_Results!$B:$B,E$1,Round_Results!$A:$A,"&lt;="&amp;$A9)</f>
        <v/>
      </c>
      <c r="F9" s="3">
        <f>SUMIFS(Round_Results!$F:$F,Round_Results!$B:$B,F$1,Round_Results!$A:$A,"&lt;="&amp;$A9)</f>
        <v/>
      </c>
    </row>
    <row r="10">
      <c r="A10" t="n">
        <v>9</v>
      </c>
      <c r="B10" s="3">
        <f>SUMIFS(Round_Results!$F:$F,Round_Results!$B:$B,B$1,Round_Results!$A:$A,"&lt;="&amp;$A10)</f>
        <v/>
      </c>
      <c r="C10" s="3">
        <f>SUMIFS(Round_Results!$F:$F,Round_Results!$B:$B,C$1,Round_Results!$A:$A,"&lt;="&amp;$A10)</f>
        <v/>
      </c>
      <c r="D10" s="3">
        <f>SUMIFS(Round_Results!$F:$F,Round_Results!$B:$B,D$1,Round_Results!$A:$A,"&lt;="&amp;$A10)</f>
        <v/>
      </c>
      <c r="E10" s="3">
        <f>SUMIFS(Round_Results!$F:$F,Round_Results!$B:$B,E$1,Round_Results!$A:$A,"&lt;="&amp;$A10)</f>
        <v/>
      </c>
      <c r="F10" s="3">
        <f>SUMIFS(Round_Results!$F:$F,Round_Results!$B:$B,F$1,Round_Results!$A:$A,"&lt;="&amp;$A10)</f>
        <v/>
      </c>
    </row>
    <row r="11">
      <c r="A11" t="n">
        <v>10</v>
      </c>
      <c r="B11" s="3">
        <f>SUMIFS(Round_Results!$F:$F,Round_Results!$B:$B,B$1,Round_Results!$A:$A,"&lt;="&amp;$A11)</f>
        <v/>
      </c>
      <c r="C11" s="3">
        <f>SUMIFS(Round_Results!$F:$F,Round_Results!$B:$B,C$1,Round_Results!$A:$A,"&lt;="&amp;$A11)</f>
        <v/>
      </c>
      <c r="D11" s="3">
        <f>SUMIFS(Round_Results!$F:$F,Round_Results!$B:$B,D$1,Round_Results!$A:$A,"&lt;="&amp;$A11)</f>
        <v/>
      </c>
      <c r="E11" s="3">
        <f>SUMIFS(Round_Results!$F:$F,Round_Results!$B:$B,E$1,Round_Results!$A:$A,"&lt;="&amp;$A11)</f>
        <v/>
      </c>
      <c r="F11" s="3">
        <f>SUMIFS(Round_Results!$F:$F,Round_Results!$B:$B,F$1,Round_Results!$A:$A,"&lt;="&amp;$A11)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method</t>
        </is>
      </c>
      <c r="B1" s="2" t="inlineStr">
        <is>
          <t>P1_cells_total</t>
        </is>
      </c>
      <c r="C1" s="2" t="inlineStr">
        <is>
          <t>P2_cells_total</t>
        </is>
      </c>
      <c r="D1" s="2" t="inlineStr">
        <is>
          <t>P3_cells_total</t>
        </is>
      </c>
      <c r="E1" s="2" t="inlineStr">
        <is>
          <t>P0_cells_total</t>
        </is>
      </c>
    </row>
    <row r="2">
      <c r="A2" t="inlineStr">
        <is>
          <t>RRP_KMEANS</t>
        </is>
      </c>
      <c r="B2" s="3">
        <f>SUMIFS(Round_Results!$U:$U,Round_Results!$B:$B,$A2)</f>
        <v/>
      </c>
      <c r="C2" s="3">
        <f>SUMIFS(Round_Results!$V:$V,Round_Results!$B:$B,$A2)</f>
        <v/>
      </c>
      <c r="D2" s="3">
        <f>SUMIFS(Round_Results!$W:$W,Round_Results!$B:$B,$A2)</f>
        <v/>
      </c>
      <c r="E2" s="3">
        <f>SUMIFS(Round_Results!$X:$X,Round_Results!$B:$B,$A2)</f>
        <v/>
      </c>
    </row>
    <row r="3">
      <c r="A3" t="inlineStr">
        <is>
          <t>RRP_KMEANS_VNS</t>
        </is>
      </c>
      <c r="B3" s="3">
        <f>SUMIFS(Round_Results!$U:$U,Round_Results!$B:$B,$A3)</f>
        <v/>
      </c>
      <c r="C3" s="3">
        <f>SUMIFS(Round_Results!$V:$V,Round_Results!$B:$B,$A3)</f>
        <v/>
      </c>
      <c r="D3" s="3">
        <f>SUMIFS(Round_Results!$W:$W,Round_Results!$B:$B,$A3)</f>
        <v/>
      </c>
      <c r="E3" s="3">
        <f>SUMIFS(Round_Results!$X:$X,Round_Results!$B:$B,$A3)</f>
        <v/>
      </c>
    </row>
    <row r="4">
      <c r="A4" t="inlineStr">
        <is>
          <t>RRP_MS_KMEANS_VNS</t>
        </is>
      </c>
      <c r="B4" s="3">
        <f>SUMIFS(Round_Results!$U:$U,Round_Results!$B:$B,$A4)</f>
        <v/>
      </c>
      <c r="C4" s="3">
        <f>SUMIFS(Round_Results!$V:$V,Round_Results!$B:$B,$A4)</f>
        <v/>
      </c>
      <c r="D4" s="3">
        <f>SUMIFS(Round_Results!$W:$W,Round_Results!$B:$B,$A4)</f>
        <v/>
      </c>
      <c r="E4" s="3">
        <f>SUMIFS(Round_Results!$X:$X,Round_Results!$B:$B,$A4)</f>
        <v/>
      </c>
    </row>
    <row r="5">
      <c r="A5" t="inlineStr">
        <is>
          <t>RRP_GA</t>
        </is>
      </c>
      <c r="B5" s="3">
        <f>SUMIFS(Round_Results!$U:$U,Round_Results!$B:$B,$A5)</f>
        <v/>
      </c>
      <c r="C5" s="3">
        <f>SUMIFS(Round_Results!$V:$V,Round_Results!$B:$B,$A5)</f>
        <v/>
      </c>
      <c r="D5" s="3">
        <f>SUMIFS(Round_Results!$W:$W,Round_Results!$B:$B,$A5)</f>
        <v/>
      </c>
      <c r="E5" s="3">
        <f>SUMIFS(Round_Results!$X:$X,Round_Results!$B:$B,$A5)</f>
        <v/>
      </c>
    </row>
    <row r="6">
      <c r="A6" t="inlineStr">
        <is>
          <t>RRP_SA</t>
        </is>
      </c>
      <c r="B6" s="3">
        <f>SUMIFS(Round_Results!$U:$U,Round_Results!$B:$B,$A6)</f>
        <v/>
      </c>
      <c r="C6" s="3">
        <f>SUMIFS(Round_Results!$V:$V,Round_Results!$B:$B,$A6)</f>
        <v/>
      </c>
      <c r="D6" s="3">
        <f>SUMIFS(Round_Results!$W:$W,Round_Results!$B:$B,$A6)</f>
        <v/>
      </c>
      <c r="E6" s="3">
        <f>SUMIFS(Round_Results!$X:$X,Round_Results!$B:$B,$A6)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SUMIFS(Round_Results!$H:$H,Round_Results!$B:$B,B$1,Round_Results!$A:$A,$A2)</f>
        <v/>
      </c>
      <c r="C2" s="3">
        <f>SUMIFS(Round_Results!$H:$H,Round_Results!$B:$B,C$1,Round_Results!$A:$A,$A2)</f>
        <v/>
      </c>
      <c r="D2" s="3">
        <f>SUMIFS(Round_Results!$H:$H,Round_Results!$B:$B,D$1,Round_Results!$A:$A,$A2)</f>
        <v/>
      </c>
      <c r="E2" s="3">
        <f>SUMIFS(Round_Results!$H:$H,Round_Results!$B:$B,E$1,Round_Results!$A:$A,$A2)</f>
        <v/>
      </c>
      <c r="F2" s="3">
        <f>SUMIFS(Round_Results!$H:$H,Round_Results!$B:$B,F$1,Round_Results!$A:$A,$A2)</f>
        <v/>
      </c>
    </row>
    <row r="3">
      <c r="A3" t="n">
        <v>2</v>
      </c>
      <c r="B3" s="3">
        <f>SUMIFS(Round_Results!$H:$H,Round_Results!$B:$B,B$1,Round_Results!$A:$A,$A3)</f>
        <v/>
      </c>
      <c r="C3" s="3">
        <f>SUMIFS(Round_Results!$H:$H,Round_Results!$B:$B,C$1,Round_Results!$A:$A,$A3)</f>
        <v/>
      </c>
      <c r="D3" s="3">
        <f>SUMIFS(Round_Results!$H:$H,Round_Results!$B:$B,D$1,Round_Results!$A:$A,$A3)</f>
        <v/>
      </c>
      <c r="E3" s="3">
        <f>SUMIFS(Round_Results!$H:$H,Round_Results!$B:$B,E$1,Round_Results!$A:$A,$A3)</f>
        <v/>
      </c>
      <c r="F3" s="3">
        <f>SUMIFS(Round_Results!$H:$H,Round_Results!$B:$B,F$1,Round_Results!$A:$A,$A3)</f>
        <v/>
      </c>
    </row>
    <row r="4">
      <c r="A4" t="n">
        <v>3</v>
      </c>
      <c r="B4" s="3">
        <f>SUMIFS(Round_Results!$H:$H,Round_Results!$B:$B,B$1,Round_Results!$A:$A,$A4)</f>
        <v/>
      </c>
      <c r="C4" s="3">
        <f>SUMIFS(Round_Results!$H:$H,Round_Results!$B:$B,C$1,Round_Results!$A:$A,$A4)</f>
        <v/>
      </c>
      <c r="D4" s="3">
        <f>SUMIFS(Round_Results!$H:$H,Round_Results!$B:$B,D$1,Round_Results!$A:$A,$A4)</f>
        <v/>
      </c>
      <c r="E4" s="3">
        <f>SUMIFS(Round_Results!$H:$H,Round_Results!$B:$B,E$1,Round_Results!$A:$A,$A4)</f>
        <v/>
      </c>
      <c r="F4" s="3">
        <f>SUMIFS(Round_Results!$H:$H,Round_Results!$B:$B,F$1,Round_Results!$A:$A,$A4)</f>
        <v/>
      </c>
    </row>
    <row r="5">
      <c r="A5" t="n">
        <v>4</v>
      </c>
      <c r="B5" s="3">
        <f>SUMIFS(Round_Results!$H:$H,Round_Results!$B:$B,B$1,Round_Results!$A:$A,$A5)</f>
        <v/>
      </c>
      <c r="C5" s="3">
        <f>SUMIFS(Round_Results!$H:$H,Round_Results!$B:$B,C$1,Round_Results!$A:$A,$A5)</f>
        <v/>
      </c>
      <c r="D5" s="3">
        <f>SUMIFS(Round_Results!$H:$H,Round_Results!$B:$B,D$1,Round_Results!$A:$A,$A5)</f>
        <v/>
      </c>
      <c r="E5" s="3">
        <f>SUMIFS(Round_Results!$H:$H,Round_Results!$B:$B,E$1,Round_Results!$A:$A,$A5)</f>
        <v/>
      </c>
      <c r="F5" s="3">
        <f>SUMIFS(Round_Results!$H:$H,Round_Results!$B:$B,F$1,Round_Results!$A:$A,$A5)</f>
        <v/>
      </c>
    </row>
    <row r="6">
      <c r="A6" t="n">
        <v>5</v>
      </c>
      <c r="B6" s="3">
        <f>SUMIFS(Round_Results!$H:$H,Round_Results!$B:$B,B$1,Round_Results!$A:$A,$A6)</f>
        <v/>
      </c>
      <c r="C6" s="3">
        <f>SUMIFS(Round_Results!$H:$H,Round_Results!$B:$B,C$1,Round_Results!$A:$A,$A6)</f>
        <v/>
      </c>
      <c r="D6" s="3">
        <f>SUMIFS(Round_Results!$H:$H,Round_Results!$B:$B,D$1,Round_Results!$A:$A,$A6)</f>
        <v/>
      </c>
      <c r="E6" s="3">
        <f>SUMIFS(Round_Results!$H:$H,Round_Results!$B:$B,E$1,Round_Results!$A:$A,$A6)</f>
        <v/>
      </c>
      <c r="F6" s="3">
        <f>SUMIFS(Round_Results!$H:$H,Round_Results!$B:$B,F$1,Round_Results!$A:$A,$A6)</f>
        <v/>
      </c>
    </row>
    <row r="7">
      <c r="A7" t="n">
        <v>6</v>
      </c>
      <c r="B7" s="3">
        <f>SUMIFS(Round_Results!$H:$H,Round_Results!$B:$B,B$1,Round_Results!$A:$A,$A7)</f>
        <v/>
      </c>
      <c r="C7" s="3">
        <f>SUMIFS(Round_Results!$H:$H,Round_Results!$B:$B,C$1,Round_Results!$A:$A,$A7)</f>
        <v/>
      </c>
      <c r="D7" s="3">
        <f>SUMIFS(Round_Results!$H:$H,Round_Results!$B:$B,D$1,Round_Results!$A:$A,$A7)</f>
        <v/>
      </c>
      <c r="E7" s="3">
        <f>SUMIFS(Round_Results!$H:$H,Round_Results!$B:$B,E$1,Round_Results!$A:$A,$A7)</f>
        <v/>
      </c>
      <c r="F7" s="3">
        <f>SUMIFS(Round_Results!$H:$H,Round_Results!$B:$B,F$1,Round_Results!$A:$A,$A7)</f>
        <v/>
      </c>
    </row>
    <row r="8">
      <c r="A8" t="n">
        <v>7</v>
      </c>
      <c r="B8" s="3">
        <f>SUMIFS(Round_Results!$H:$H,Round_Results!$B:$B,B$1,Round_Results!$A:$A,$A8)</f>
        <v/>
      </c>
      <c r="C8" s="3">
        <f>SUMIFS(Round_Results!$H:$H,Round_Results!$B:$B,C$1,Round_Results!$A:$A,$A8)</f>
        <v/>
      </c>
      <c r="D8" s="3">
        <f>SUMIFS(Round_Results!$H:$H,Round_Results!$B:$B,D$1,Round_Results!$A:$A,$A8)</f>
        <v/>
      </c>
      <c r="E8" s="3">
        <f>SUMIFS(Round_Results!$H:$H,Round_Results!$B:$B,E$1,Round_Results!$A:$A,$A8)</f>
        <v/>
      </c>
      <c r="F8" s="3">
        <f>SUMIFS(Round_Results!$H:$H,Round_Results!$B:$B,F$1,Round_Results!$A:$A,$A8)</f>
        <v/>
      </c>
    </row>
    <row r="9">
      <c r="A9" t="n">
        <v>8</v>
      </c>
      <c r="B9" s="3">
        <f>SUMIFS(Round_Results!$H:$H,Round_Results!$B:$B,B$1,Round_Results!$A:$A,$A9)</f>
        <v/>
      </c>
      <c r="C9" s="3">
        <f>SUMIFS(Round_Results!$H:$H,Round_Results!$B:$B,C$1,Round_Results!$A:$A,$A9)</f>
        <v/>
      </c>
      <c r="D9" s="3">
        <f>SUMIFS(Round_Results!$H:$H,Round_Results!$B:$B,D$1,Round_Results!$A:$A,$A9)</f>
        <v/>
      </c>
      <c r="E9" s="3">
        <f>SUMIFS(Round_Results!$H:$H,Round_Results!$B:$B,E$1,Round_Results!$A:$A,$A9)</f>
        <v/>
      </c>
      <c r="F9" s="3">
        <f>SUMIFS(Round_Results!$H:$H,Round_Results!$B:$B,F$1,Round_Results!$A:$A,$A9)</f>
        <v/>
      </c>
    </row>
    <row r="10">
      <c r="A10" t="n">
        <v>9</v>
      </c>
      <c r="B10" s="3">
        <f>SUMIFS(Round_Results!$H:$H,Round_Results!$B:$B,B$1,Round_Results!$A:$A,$A10)</f>
        <v/>
      </c>
      <c r="C10" s="3">
        <f>SUMIFS(Round_Results!$H:$H,Round_Results!$B:$B,C$1,Round_Results!$A:$A,$A10)</f>
        <v/>
      </c>
      <c r="D10" s="3">
        <f>SUMIFS(Round_Results!$H:$H,Round_Results!$B:$B,D$1,Round_Results!$A:$A,$A10)</f>
        <v/>
      </c>
      <c r="E10" s="3">
        <f>SUMIFS(Round_Results!$H:$H,Round_Results!$B:$B,E$1,Round_Results!$A:$A,$A10)</f>
        <v/>
      </c>
      <c r="F10" s="3">
        <f>SUMIFS(Round_Results!$H:$H,Round_Results!$B:$B,F$1,Round_Results!$A:$A,$A10)</f>
        <v/>
      </c>
    </row>
    <row r="11">
      <c r="A11" t="n">
        <v>10</v>
      </c>
      <c r="B11" s="3">
        <f>SUMIFS(Round_Results!$H:$H,Round_Results!$B:$B,B$1,Round_Results!$A:$A,$A11)</f>
        <v/>
      </c>
      <c r="C11" s="3">
        <f>SUMIFS(Round_Results!$H:$H,Round_Results!$B:$B,C$1,Round_Results!$A:$A,$A11)</f>
        <v/>
      </c>
      <c r="D11" s="3">
        <f>SUMIFS(Round_Results!$H:$H,Round_Results!$B:$B,D$1,Round_Results!$A:$A,$A11)</f>
        <v/>
      </c>
      <c r="E11" s="3">
        <f>SUMIFS(Round_Results!$H:$H,Round_Results!$B:$B,E$1,Round_Results!$A:$A,$A11)</f>
        <v/>
      </c>
      <c r="F11" s="3">
        <f>SUMIFS(Round_Results!$H:$H,Round_Results!$B:$B,F$1,Round_Results!$A:$A,$A11)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2026-05-20T09:35:17Z</dcterms:created>
  <dcterms:modified xsi:type="dcterms:W3CDTF">2026-05-20T09:35:17Z</dcterms:modified>
</cp:coreProperties>
</file>