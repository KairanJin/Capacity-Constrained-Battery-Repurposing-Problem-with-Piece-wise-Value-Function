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ound_Results" sheetId="2" state="visible" r:id="rId2"/>
    <sheet name="Method_Summary" sheetId="3" state="visible" r:id="rId3"/>
    <sheet name="ChartData_CumReward" sheetId="4" state="visible" r:id="rId4"/>
    <sheet name="ChartData_TierCells" sheetId="5" state="visible" r:id="rId5"/>
    <sheet name="ChartData_Runtime" sheetId="6" state="visible" r:id="rId6"/>
    <sheet name="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五种算法每轮累计收益对比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'ChartData_CumReward'!B1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</f>
            </numRef>
          </cat>
          <val>
            <numRef>
              <f>'ChartData_CumReward'!$B$2</f>
            </numRef>
          </val>
        </ser>
        <ser>
          <idx val="1"/>
          <order val="1"/>
          <tx>
            <strRef>
              <f>'ChartData_CumReward'!C1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</f>
            </numRef>
          </cat>
          <val>
            <numRef>
              <f>'ChartData_CumReward'!$C$2</f>
            </numRef>
          </val>
        </ser>
        <ser>
          <idx val="2"/>
          <order val="2"/>
          <tx>
            <strRef>
              <f>'ChartData_CumReward'!D1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</f>
            </numRef>
          </cat>
          <val>
            <numRef>
              <f>'ChartData_CumReward'!$D$2</f>
            </numRef>
          </val>
        </ser>
        <ser>
          <idx val="3"/>
          <order val="3"/>
          <tx>
            <strRef>
              <f>'ChartData_CumReward'!E1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</f>
            </numRef>
          </cat>
          <val>
            <numRef>
              <f>'ChartData_CumReward'!$E$2</f>
            </numRef>
          </val>
        </ser>
        <ser>
          <idx val="4"/>
          <order val="4"/>
          <tx>
            <strRef>
              <f>'ChartData_CumReward'!F1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</f>
            </numRef>
          </cat>
          <val>
            <numRef>
              <f>'ChartData_CumReward'!$F$2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五种算法在20轮中的各类电芯重组总数量对比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'ChartData_TierCells'!B1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'ChartData_TierCells'!$B$2:$B$6</f>
            </numRef>
          </val>
        </ser>
        <ser>
          <idx val="1"/>
          <order val="1"/>
          <tx>
            <strRef>
              <f>'ChartData_TierCells'!C1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'ChartData_TierCells'!$C$2:$C$6</f>
            </numRef>
          </val>
        </ser>
        <ser>
          <idx val="2"/>
          <order val="2"/>
          <tx>
            <strRef>
              <f>'ChartData_TierCells'!D1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'ChartData_TierCells'!$D$2:$D$6</f>
            </numRef>
          </val>
        </ser>
        <ser>
          <idx val="3"/>
          <order val="3"/>
          <tx>
            <strRef>
              <f>'ChartData_TierCells'!E1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总重组电芯数量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算法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五种算法每轮运行时间对比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'ChartData_Runtime'!B1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</f>
            </numRef>
          </cat>
          <val>
            <numRef>
              <f>'ChartData_Runtime'!$B$2</f>
            </numRef>
          </val>
        </ser>
        <ser>
          <idx val="1"/>
          <order val="1"/>
          <tx>
            <strRef>
              <f>'ChartData_Runtime'!C1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</f>
            </numRef>
          </cat>
          <val>
            <numRef>
              <f>'ChartData_Runtime'!$C$2</f>
            </numRef>
          </val>
        </ser>
        <ser>
          <idx val="2"/>
          <order val="2"/>
          <tx>
            <strRef>
              <f>'ChartData_Runtime'!D1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</f>
            </numRef>
          </cat>
          <val>
            <numRef>
              <f>'ChartData_Runtime'!$D$2</f>
            </numRef>
          </val>
        </ser>
        <ser>
          <idx val="3"/>
          <order val="3"/>
          <tx>
            <strRef>
              <f>'ChartData_Runtime'!E1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</f>
            </numRef>
          </cat>
          <val>
            <numRef>
              <f>'ChartData_Runtime'!$E$2</f>
            </numRef>
          </val>
        </ser>
        <ser>
          <idx val="4"/>
          <order val="4"/>
          <tx>
            <strRef>
              <f>'ChartData_Runtime'!F1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</f>
            </numRef>
          </cat>
          <val>
            <numRef>
              <f>'ChartData_Runtime'!$F$2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运行时间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0</row>
      <rowOff>0</rowOff>
    </from>
    <ext cx="64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</cols>
  <sheetData>
    <row r="1">
      <c r="A1" s="1" t="inlineStr">
        <is>
          <t>20轮重组实验 Excel 模板</t>
        </is>
      </c>
    </row>
    <row r="3">
      <c r="A3" t="inlineStr">
        <is>
          <t>说明：</t>
        </is>
      </c>
    </row>
    <row r="4">
      <c r="A4" t="inlineStr">
        <is>
          <t>1. Round_Results 为逐轮明细表，后续可直接按相同列顺序粘贴数据。</t>
        </is>
      </c>
    </row>
    <row r="5">
      <c r="A5" t="inlineStr">
        <is>
          <t>2. ChartData_CumReward：五种算法每轮累计收益绘图数据。</t>
        </is>
      </c>
    </row>
    <row r="6">
      <c r="A6" t="inlineStr">
        <is>
          <t>3. ChartData_TierCells：五种算法20轮中各类电芯重组总数量绘图数据。</t>
        </is>
      </c>
    </row>
    <row r="7">
      <c r="A7" t="inlineStr">
        <is>
          <t>4. ChartData_Runtime：五种算法每轮运行时间绘图数据。</t>
        </is>
      </c>
    </row>
    <row r="8">
      <c r="A8" t="inlineStr">
        <is>
          <t>5. Charts 工作表内已预置三张图。</t>
        </is>
      </c>
    </row>
    <row r="10">
      <c r="A10" t="inlineStr">
        <is>
          <t>方法列表：</t>
        </is>
      </c>
    </row>
    <row r="11">
      <c r="A11" t="inlineStr">
        <is>
          <t>RRP_KMEANS_VNS</t>
        </is>
      </c>
      <c r="B11" t="inlineStr">
        <is>
          <t>KMeans_VNS</t>
        </is>
      </c>
    </row>
    <row r="12">
      <c r="A12" t="inlineStr">
        <is>
          <t>RRP_MS_KMEANS_VNS</t>
        </is>
      </c>
      <c r="B12" t="inlineStr">
        <is>
          <t>MS_KMeans_VNS</t>
        </is>
      </c>
    </row>
    <row r="13">
      <c r="A13" t="inlineStr">
        <is>
          <t>RRP_GA</t>
        </is>
      </c>
      <c r="B13" t="inlineStr">
        <is>
          <t>GA</t>
        </is>
      </c>
    </row>
    <row r="14">
      <c r="A14" t="inlineStr">
        <is>
          <t>RRP_SA</t>
        </is>
      </c>
      <c r="B14" t="inlineStr">
        <is>
          <t>SA</t>
        </is>
      </c>
    </row>
    <row r="15">
      <c r="A15" t="inlineStr">
        <is>
          <t>RRP_GUROBI_MIP</t>
        </is>
      </c>
      <c r="B15" t="inlineStr">
        <is>
          <t>Gurobi_MIP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12" customWidth="1" min="4" max="4"/>
    <col width="12" customWidth="1" min="5" max="5"/>
    <col width="14" customWidth="1" min="6" max="6"/>
    <col width="18" customWidth="1" min="7" max="7"/>
    <col width="12" customWidth="1" min="8" max="8"/>
    <col width="10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6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28" customWidth="1" min="25" max="25"/>
    <col width="12" customWidth="1" min="26" max="26"/>
    <col width="12" customWidth="1" min="27" max="27"/>
    <col width="18" customWidth="1" min="28" max="28"/>
  </cols>
  <sheetData>
    <row r="1">
      <c r="A1" s="2" t="inlineStr">
        <is>
          <t>round</t>
        </is>
      </c>
      <c r="B1" s="2" t="inlineStr">
        <is>
          <t>method</t>
        </is>
      </c>
      <c r="C1" s="2" t="inlineStr">
        <is>
          <t>method_label</t>
        </is>
      </c>
      <c r="D1" s="2" t="inlineStr">
        <is>
          <t>new_cells</t>
        </is>
      </c>
      <c r="E1" s="2" t="inlineStr">
        <is>
          <t>pool_before</t>
        </is>
      </c>
      <c r="F1" s="2" t="inlineStr">
        <is>
          <t>reward</t>
        </is>
      </c>
      <c r="G1" s="2" t="inlineStr">
        <is>
          <t>cumulative_reward</t>
        </is>
      </c>
      <c r="H1" s="2" t="inlineStr">
        <is>
          <t>runtime</t>
        </is>
      </c>
      <c r="I1" s="2" t="inlineStr">
        <is>
          <t>n_packs</t>
        </is>
      </c>
      <c r="J1" s="2" t="inlineStr">
        <is>
          <t>used_cells</t>
        </is>
      </c>
      <c r="K1" s="2" t="inlineStr">
        <is>
          <t>leftover_cells</t>
        </is>
      </c>
      <c r="L1" s="2" t="inlineStr">
        <is>
          <t>utilization_rate</t>
        </is>
      </c>
      <c r="M1" s="2" t="inlineStr">
        <is>
          <t>avg_delta</t>
        </is>
      </c>
      <c r="N1" s="2" t="inlineStr">
        <is>
          <t>avg_phi</t>
        </is>
      </c>
      <c r="O1" s="2" t="inlineStr">
        <is>
          <t>reward_per_pack</t>
        </is>
      </c>
      <c r="P1" s="2" t="inlineStr">
        <is>
          <t>positive_pack_ratio</t>
        </is>
      </c>
      <c r="Q1" s="2" t="inlineStr">
        <is>
          <t>P1_packs</t>
        </is>
      </c>
      <c r="R1" s="2" t="inlineStr">
        <is>
          <t>P2_packs</t>
        </is>
      </c>
      <c r="S1" s="2" t="inlineStr">
        <is>
          <t>P3_packs</t>
        </is>
      </c>
      <c r="T1" s="2" t="inlineStr">
        <is>
          <t>P0_packs</t>
        </is>
      </c>
      <c r="U1" s="2" t="inlineStr">
        <is>
          <t>P1_cells</t>
        </is>
      </c>
      <c r="V1" s="2" t="inlineStr">
        <is>
          <t>P2_cells</t>
        </is>
      </c>
      <c r="W1" s="2" t="inlineStr">
        <is>
          <t>P3_cells</t>
        </is>
      </c>
      <c r="X1" s="2" t="inlineStr">
        <is>
          <t>P0_cells</t>
        </is>
      </c>
      <c r="Y1" s="2" t="inlineStr">
        <is>
          <t>tier_distribution</t>
        </is>
      </c>
      <c r="Z1" s="2" t="inlineStr">
        <is>
          <t>n_columns</t>
        </is>
      </c>
      <c r="AA1" s="2" t="inlineStr">
        <is>
          <t>gurobi_gap</t>
        </is>
      </c>
      <c r="AB1" s="2" t="inlineStr">
        <is>
          <t>n_feasible_groups</t>
        </is>
      </c>
    </row>
    <row r="2">
      <c r="A2" t="n">
        <v>1</v>
      </c>
      <c r="B2" t="inlineStr">
        <is>
          <t>RRP_KMEANS_VNS</t>
        </is>
      </c>
      <c r="C2" t="inlineStr">
        <is>
          <t>KMeans_VNS</t>
        </is>
      </c>
      <c r="D2" t="n">
        <v>300</v>
      </c>
      <c r="E2" t="n">
        <v>300</v>
      </c>
      <c r="F2" s="3" t="n">
        <v>161.8858250364815</v>
      </c>
      <c r="G2" s="3" t="n">
        <v>161.8858250364815</v>
      </c>
      <c r="H2" s="3" t="n">
        <v>0.9782826000000568</v>
      </c>
      <c r="I2" t="n">
        <v>25</v>
      </c>
      <c r="J2" t="n">
        <v>200</v>
      </c>
      <c r="K2" t="n">
        <v>100</v>
      </c>
      <c r="L2" s="4" t="n">
        <v>0.6666666666666666</v>
      </c>
      <c r="M2" s="3" t="n">
        <v>0.09133997081475151</v>
      </c>
      <c r="N2" s="3" t="n">
        <v>0.19886351997882</v>
      </c>
      <c r="O2" s="3" t="n">
        <v>6.475433001459262</v>
      </c>
      <c r="P2" s="4" t="n">
        <v>0.96</v>
      </c>
      <c r="Q2" t="n">
        <v>9</v>
      </c>
      <c r="R2" t="n">
        <v>9</v>
      </c>
      <c r="S2" t="n">
        <v>6</v>
      </c>
      <c r="T2" t="n">
        <v>1</v>
      </c>
      <c r="U2" t="n">
        <v>72</v>
      </c>
      <c r="V2" t="n">
        <v>72</v>
      </c>
      <c r="W2" t="n">
        <v>48</v>
      </c>
      <c r="X2" t="n">
        <v>8</v>
      </c>
      <c r="Y2" t="inlineStr">
        <is>
          <t>P1:9, P2:9, P3:6, P0:1</t>
        </is>
      </c>
      <c r="Z2" t="n">
        <v/>
      </c>
      <c r="AA2" t="n">
        <v/>
      </c>
      <c r="AB2" t="n">
        <v/>
      </c>
    </row>
    <row r="3">
      <c r="A3" t="n">
        <v>1</v>
      </c>
      <c r="B3" t="inlineStr">
        <is>
          <t>RRP_MS_KMEANS_VNS</t>
        </is>
      </c>
      <c r="C3" t="inlineStr">
        <is>
          <t>MS_KMeans_VNS</t>
        </is>
      </c>
      <c r="D3" t="n">
        <v>300</v>
      </c>
      <c r="E3" t="n">
        <v>300</v>
      </c>
      <c r="F3" s="3" t="n">
        <v>172.9109867514478</v>
      </c>
      <c r="G3" s="3" t="n">
        <v>172.9109867514478</v>
      </c>
      <c r="H3" s="3" t="n">
        <v>6.434633400000166</v>
      </c>
      <c r="I3" t="n">
        <v>25</v>
      </c>
      <c r="J3" t="n">
        <v>200</v>
      </c>
      <c r="K3" t="n">
        <v>100</v>
      </c>
      <c r="L3" s="4" t="n">
        <v>0.6666666666666666</v>
      </c>
      <c r="M3" s="3" t="n">
        <v>0.07121059884176147</v>
      </c>
      <c r="N3" s="3" t="n">
        <v>0.2655391736909898</v>
      </c>
      <c r="O3" s="3" t="n">
        <v>6.916439470057911</v>
      </c>
      <c r="P3" s="4" t="n">
        <v>1</v>
      </c>
      <c r="Q3" t="n">
        <v>11</v>
      </c>
      <c r="R3" t="n">
        <v>7</v>
      </c>
      <c r="S3" t="n">
        <v>7</v>
      </c>
      <c r="T3" t="n">
        <v>0</v>
      </c>
      <c r="U3" t="n">
        <v>88</v>
      </c>
      <c r="V3" t="n">
        <v>56</v>
      </c>
      <c r="W3" t="n">
        <v>56</v>
      </c>
      <c r="X3" t="n">
        <v>0</v>
      </c>
      <c r="Y3" t="inlineStr">
        <is>
          <t>P1:11, P2:7, P3:7, P0:0</t>
        </is>
      </c>
      <c r="Z3" t="n">
        <v/>
      </c>
      <c r="AA3" t="n">
        <v/>
      </c>
      <c r="AB3" t="n">
        <v/>
      </c>
    </row>
    <row r="4">
      <c r="A4" t="n">
        <v>1</v>
      </c>
      <c r="B4" t="inlineStr">
        <is>
          <t>RRP_GA</t>
        </is>
      </c>
      <c r="C4" t="inlineStr">
        <is>
          <t>GA</t>
        </is>
      </c>
      <c r="D4" t="n">
        <v>300</v>
      </c>
      <c r="E4" t="n">
        <v>300</v>
      </c>
      <c r="F4" s="3" t="n">
        <v>181.8897293065329</v>
      </c>
      <c r="G4" s="3" t="n">
        <v>181.8897293065329</v>
      </c>
      <c r="H4" s="3" t="n">
        <v>6.699118599999565</v>
      </c>
      <c r="I4" t="n">
        <v>26</v>
      </c>
      <c r="J4" t="n">
        <v>208</v>
      </c>
      <c r="K4" t="n">
        <v>92</v>
      </c>
      <c r="L4" s="4" t="n">
        <v>0.6933333333333334</v>
      </c>
      <c r="M4" s="3" t="n">
        <v>0.08482361035928482</v>
      </c>
      <c r="N4" s="3" t="n">
        <v>0.2734383674750568</v>
      </c>
      <c r="O4" s="3" t="n">
        <v>6.995758819482035</v>
      </c>
      <c r="P4" s="4" t="n">
        <v>1</v>
      </c>
      <c r="Q4" t="n">
        <v>11</v>
      </c>
      <c r="R4" t="n">
        <v>9</v>
      </c>
      <c r="S4" t="n">
        <v>6</v>
      </c>
      <c r="T4" t="n">
        <v>0</v>
      </c>
      <c r="U4" t="n">
        <v>88</v>
      </c>
      <c r="V4" t="n">
        <v>72</v>
      </c>
      <c r="W4" t="n">
        <v>48</v>
      </c>
      <c r="X4" t="n">
        <v>0</v>
      </c>
      <c r="Y4" t="inlineStr">
        <is>
          <t>P1:11, P2:9, P3:6, P0:0</t>
        </is>
      </c>
      <c r="Z4" t="n">
        <v/>
      </c>
      <c r="AA4" t="n">
        <v/>
      </c>
      <c r="AB4" t="n">
        <v/>
      </c>
    </row>
    <row r="5">
      <c r="A5" t="n">
        <v>1</v>
      </c>
      <c r="B5" t="inlineStr">
        <is>
          <t>RRP_SA</t>
        </is>
      </c>
      <c r="C5" t="inlineStr">
        <is>
          <t>SA</t>
        </is>
      </c>
      <c r="D5" t="n">
        <v>300</v>
      </c>
      <c r="E5" t="n">
        <v>300</v>
      </c>
      <c r="F5" s="3" t="n">
        <v>171.9353269123513</v>
      </c>
      <c r="G5" s="3" t="n">
        <v>171.9353269123513</v>
      </c>
      <c r="H5" s="3" t="n">
        <v>8.209886999999981</v>
      </c>
      <c r="I5" t="n">
        <v>26</v>
      </c>
      <c r="J5" t="n">
        <v>208</v>
      </c>
      <c r="K5" t="n">
        <v>92</v>
      </c>
      <c r="L5" s="4" t="n">
        <v>0.6933333333333334</v>
      </c>
      <c r="M5" s="3" t="n">
        <v>0.04974852896057448</v>
      </c>
      <c r="N5" s="3" t="n">
        <v>0.2569483951965777</v>
      </c>
      <c r="O5" s="3" t="n">
        <v>6.612897188936587</v>
      </c>
      <c r="P5" s="4" t="n">
        <v>0.9615384615384616</v>
      </c>
      <c r="Q5" t="n">
        <v>10</v>
      </c>
      <c r="R5" t="n">
        <v>9</v>
      </c>
      <c r="S5" t="n">
        <v>6</v>
      </c>
      <c r="T5" t="n">
        <v>1</v>
      </c>
      <c r="U5" t="n">
        <v>80</v>
      </c>
      <c r="V5" t="n">
        <v>72</v>
      </c>
      <c r="W5" t="n">
        <v>48</v>
      </c>
      <c r="X5" t="n">
        <v>8</v>
      </c>
      <c r="Y5" t="inlineStr">
        <is>
          <t>P1:10, P2:9, P3:6, P0:1</t>
        </is>
      </c>
      <c r="Z5" t="n">
        <v/>
      </c>
      <c r="AA5" t="n">
        <v/>
      </c>
      <c r="AB5" t="n">
        <v/>
      </c>
    </row>
    <row r="6">
      <c r="A6" t="n">
        <v>1</v>
      </c>
      <c r="B6" t="inlineStr">
        <is>
          <t>RRP_GUROBI_MIP</t>
        </is>
      </c>
      <c r="C6" t="inlineStr">
        <is>
          <t>Gurobi_MIP</t>
        </is>
      </c>
      <c r="D6" t="n">
        <v>300</v>
      </c>
      <c r="E6" t="n">
        <v>300</v>
      </c>
      <c r="F6" s="3" t="n">
        <v>99.95608576505001</v>
      </c>
      <c r="G6" s="3" t="n">
        <v>99.95608576505001</v>
      </c>
      <c r="H6" s="3" t="n">
        <v>60.08213799999976</v>
      </c>
      <c r="I6" t="n">
        <v>10</v>
      </c>
      <c r="J6" t="n">
        <v>80</v>
      </c>
      <c r="K6" t="n">
        <v>220</v>
      </c>
      <c r="L6" s="4" t="n">
        <v>0.2666666666666667</v>
      </c>
      <c r="M6" s="3" t="n">
        <v>0.08782846990000104</v>
      </c>
      <c r="N6" s="3" t="n">
        <v>0.7596032735842471</v>
      </c>
      <c r="O6" s="3" t="n">
        <v>9.995608576505001</v>
      </c>
      <c r="P6" s="4" t="n">
        <v>1</v>
      </c>
      <c r="Q6" t="n">
        <v>10</v>
      </c>
      <c r="R6" t="n">
        <v>0</v>
      </c>
      <c r="S6" t="n">
        <v>0</v>
      </c>
      <c r="T6" t="n">
        <v>0</v>
      </c>
      <c r="U6" t="n">
        <v>80</v>
      </c>
      <c r="V6" t="n">
        <v>0</v>
      </c>
      <c r="W6" t="n">
        <v>0</v>
      </c>
      <c r="X6" t="n">
        <v>0</v>
      </c>
      <c r="Y6" t="inlineStr">
        <is>
          <t>P1:10, P2:0, P3:0, P0:0</t>
        </is>
      </c>
      <c r="Z6" t="n">
        <v/>
      </c>
      <c r="AA6" t="n">
        <v>0.01202199899159761</v>
      </c>
      <c r="AB6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22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method</t>
        </is>
      </c>
      <c r="B1" s="2" t="inlineStr">
        <is>
          <t>method_label</t>
        </is>
      </c>
      <c r="C1" s="2" t="inlineStr">
        <is>
          <t>total_reward</t>
        </is>
      </c>
      <c r="D1" s="2" t="inlineStr">
        <is>
          <t>final_cumulative_reward</t>
        </is>
      </c>
      <c r="E1" s="2" t="inlineStr">
        <is>
          <t>total_runtime</t>
        </is>
      </c>
      <c r="F1" s="2" t="inlineStr">
        <is>
          <t>avg_runtime</t>
        </is>
      </c>
      <c r="G1" s="2" t="inlineStr">
        <is>
          <t>total_packs</t>
        </is>
      </c>
      <c r="H1" s="2" t="inlineStr">
        <is>
          <t>total_used_cells</t>
        </is>
      </c>
      <c r="I1" s="2" t="inlineStr">
        <is>
          <t>final_leftover</t>
        </is>
      </c>
      <c r="J1" s="2" t="inlineStr">
        <is>
          <t>P1_cells_total</t>
        </is>
      </c>
      <c r="K1" s="2" t="inlineStr">
        <is>
          <t>P2_cells_total</t>
        </is>
      </c>
      <c r="L1" s="2" t="inlineStr">
        <is>
          <t>P3_cells_total</t>
        </is>
      </c>
      <c r="M1" s="2" t="inlineStr">
        <is>
          <t>P0_cells_total</t>
        </is>
      </c>
    </row>
    <row r="2">
      <c r="A2" t="inlineStr">
        <is>
          <t>RRP_KMEANS_VNS</t>
        </is>
      </c>
      <c r="B2" t="inlineStr">
        <is>
          <t>KMeans_VNS</t>
        </is>
      </c>
      <c r="C2" s="3">
        <f>SUMIFS(Round_Results!$F:$F,Round_Results!$B:$B,$A2)</f>
        <v/>
      </c>
      <c r="D2" s="3">
        <f>MAXIFS(Round_Results!$G:$G,Round_Results!$B:$B,$A2)</f>
        <v/>
      </c>
      <c r="E2" s="3">
        <f>SUMIFS(Round_Results!$H:$H,Round_Results!$B:$B,$A2)</f>
        <v/>
      </c>
      <c r="F2" s="3">
        <f>AVERAGEIFS(Round_Results!$H:$H,Round_Results!$B:$B,$A2)</f>
        <v/>
      </c>
      <c r="G2" s="3">
        <f>SUMIFS(Round_Results!$I:$I,Round_Results!$B:$B,$A2)</f>
        <v/>
      </c>
      <c r="H2" s="3">
        <f>SUMIFS(Round_Results!$J:$J,Round_Results!$B:$B,$A2)</f>
        <v/>
      </c>
      <c r="I2" s="3">
        <f>MAXIFS(Round_Results!$K:$K,Round_Results!$B:$B,$A2,Round_Results!$A:$A,1)</f>
        <v/>
      </c>
      <c r="J2" s="3">
        <f>SUMIFS(Round_Results!$U:$U,Round_Results!$B:$B,$A2)</f>
        <v/>
      </c>
      <c r="K2" s="3">
        <f>SUMIFS(Round_Results!$V:$V,Round_Results!$B:$B,$A2)</f>
        <v/>
      </c>
      <c r="L2" s="3">
        <f>SUMIFS(Round_Results!$W:$W,Round_Results!$B:$B,$A2)</f>
        <v/>
      </c>
      <c r="M2" s="3">
        <f>SUMIFS(Round_Results!$X:$X,Round_Results!$B:$B,$A2)</f>
        <v/>
      </c>
    </row>
    <row r="3">
      <c r="A3" t="inlineStr">
        <is>
          <t>RRP_MS_KMEANS_VNS</t>
        </is>
      </c>
      <c r="B3" t="inlineStr">
        <is>
          <t>MS_KMeans_VNS</t>
        </is>
      </c>
      <c r="C3" s="3">
        <f>SUMIFS(Round_Results!$F:$F,Round_Results!$B:$B,$A3)</f>
        <v/>
      </c>
      <c r="D3" s="3">
        <f>MAXIFS(Round_Results!$G:$G,Round_Results!$B:$B,$A3)</f>
        <v/>
      </c>
      <c r="E3" s="3">
        <f>SUMIFS(Round_Results!$H:$H,Round_Results!$B:$B,$A3)</f>
        <v/>
      </c>
      <c r="F3" s="3">
        <f>AVERAGEIFS(Round_Results!$H:$H,Round_Results!$B:$B,$A3)</f>
        <v/>
      </c>
      <c r="G3" s="3">
        <f>SUMIFS(Round_Results!$I:$I,Round_Results!$B:$B,$A3)</f>
        <v/>
      </c>
      <c r="H3" s="3">
        <f>SUMIFS(Round_Results!$J:$J,Round_Results!$B:$B,$A3)</f>
        <v/>
      </c>
      <c r="I3" s="3">
        <f>MAXIFS(Round_Results!$K:$K,Round_Results!$B:$B,$A3,Round_Results!$A:$A,1)</f>
        <v/>
      </c>
      <c r="J3" s="3">
        <f>SUMIFS(Round_Results!$U:$U,Round_Results!$B:$B,$A3)</f>
        <v/>
      </c>
      <c r="K3" s="3">
        <f>SUMIFS(Round_Results!$V:$V,Round_Results!$B:$B,$A3)</f>
        <v/>
      </c>
      <c r="L3" s="3">
        <f>SUMIFS(Round_Results!$W:$W,Round_Results!$B:$B,$A3)</f>
        <v/>
      </c>
      <c r="M3" s="3">
        <f>SUMIFS(Round_Results!$X:$X,Round_Results!$B:$B,$A3)</f>
        <v/>
      </c>
    </row>
    <row r="4">
      <c r="A4" t="inlineStr">
        <is>
          <t>RRP_GA</t>
        </is>
      </c>
      <c r="B4" t="inlineStr">
        <is>
          <t>GA</t>
        </is>
      </c>
      <c r="C4" s="3">
        <f>SUMIFS(Round_Results!$F:$F,Round_Results!$B:$B,$A4)</f>
        <v/>
      </c>
      <c r="D4" s="3">
        <f>MAXIFS(Round_Results!$G:$G,Round_Results!$B:$B,$A4)</f>
        <v/>
      </c>
      <c r="E4" s="3">
        <f>SUMIFS(Round_Results!$H:$H,Round_Results!$B:$B,$A4)</f>
        <v/>
      </c>
      <c r="F4" s="3">
        <f>AVERAGEIFS(Round_Results!$H:$H,Round_Results!$B:$B,$A4)</f>
        <v/>
      </c>
      <c r="G4" s="3">
        <f>SUMIFS(Round_Results!$I:$I,Round_Results!$B:$B,$A4)</f>
        <v/>
      </c>
      <c r="H4" s="3">
        <f>SUMIFS(Round_Results!$J:$J,Round_Results!$B:$B,$A4)</f>
        <v/>
      </c>
      <c r="I4" s="3">
        <f>MAXIFS(Round_Results!$K:$K,Round_Results!$B:$B,$A4,Round_Results!$A:$A,1)</f>
        <v/>
      </c>
      <c r="J4" s="3">
        <f>SUMIFS(Round_Results!$U:$U,Round_Results!$B:$B,$A4)</f>
        <v/>
      </c>
      <c r="K4" s="3">
        <f>SUMIFS(Round_Results!$V:$V,Round_Results!$B:$B,$A4)</f>
        <v/>
      </c>
      <c r="L4" s="3">
        <f>SUMIFS(Round_Results!$W:$W,Round_Results!$B:$B,$A4)</f>
        <v/>
      </c>
      <c r="M4" s="3">
        <f>SUMIFS(Round_Results!$X:$X,Round_Results!$B:$B,$A4)</f>
        <v/>
      </c>
    </row>
    <row r="5">
      <c r="A5" t="inlineStr">
        <is>
          <t>RRP_SA</t>
        </is>
      </c>
      <c r="B5" t="inlineStr">
        <is>
          <t>SA</t>
        </is>
      </c>
      <c r="C5" s="3">
        <f>SUMIFS(Round_Results!$F:$F,Round_Results!$B:$B,$A5)</f>
        <v/>
      </c>
      <c r="D5" s="3">
        <f>MAXIFS(Round_Results!$G:$G,Round_Results!$B:$B,$A5)</f>
        <v/>
      </c>
      <c r="E5" s="3">
        <f>SUMIFS(Round_Results!$H:$H,Round_Results!$B:$B,$A5)</f>
        <v/>
      </c>
      <c r="F5" s="3">
        <f>AVERAGEIFS(Round_Results!$H:$H,Round_Results!$B:$B,$A5)</f>
        <v/>
      </c>
      <c r="G5" s="3">
        <f>SUMIFS(Round_Results!$I:$I,Round_Results!$B:$B,$A5)</f>
        <v/>
      </c>
      <c r="H5" s="3">
        <f>SUMIFS(Round_Results!$J:$J,Round_Results!$B:$B,$A5)</f>
        <v/>
      </c>
      <c r="I5" s="3">
        <f>MAXIFS(Round_Results!$K:$K,Round_Results!$B:$B,$A5,Round_Results!$A:$A,1)</f>
        <v/>
      </c>
      <c r="J5" s="3">
        <f>SUMIFS(Round_Results!$U:$U,Round_Results!$B:$B,$A5)</f>
        <v/>
      </c>
      <c r="K5" s="3">
        <f>SUMIFS(Round_Results!$V:$V,Round_Results!$B:$B,$A5)</f>
        <v/>
      </c>
      <c r="L5" s="3">
        <f>SUMIFS(Round_Results!$W:$W,Round_Results!$B:$B,$A5)</f>
        <v/>
      </c>
      <c r="M5" s="3">
        <f>SUMIFS(Round_Results!$X:$X,Round_Results!$B:$B,$A5)</f>
        <v/>
      </c>
    </row>
    <row r="6">
      <c r="A6" t="inlineStr">
        <is>
          <t>RRP_GUROBI_MIP</t>
        </is>
      </c>
      <c r="B6" t="inlineStr">
        <is>
          <t>Gurobi_MIP</t>
        </is>
      </c>
      <c r="C6" s="3">
        <f>SUMIFS(Round_Results!$F:$F,Round_Results!$B:$B,$A6)</f>
        <v/>
      </c>
      <c r="D6" s="3">
        <f>MAXIFS(Round_Results!$G:$G,Round_Results!$B:$B,$A6)</f>
        <v/>
      </c>
      <c r="E6" s="3">
        <f>SUMIFS(Round_Results!$H:$H,Round_Results!$B:$B,$A6)</f>
        <v/>
      </c>
      <c r="F6" s="3">
        <f>AVERAGEIFS(Round_Results!$H:$H,Round_Results!$B:$B,$A6)</f>
        <v/>
      </c>
      <c r="G6" s="3">
        <f>SUMIFS(Round_Results!$I:$I,Round_Results!$B:$B,$A6)</f>
        <v/>
      </c>
      <c r="H6" s="3">
        <f>SUMIFS(Round_Results!$J:$J,Round_Results!$B:$B,$A6)</f>
        <v/>
      </c>
      <c r="I6" s="3">
        <f>MAXIFS(Round_Results!$K:$K,Round_Results!$B:$B,$A6,Round_Results!$A:$A,1)</f>
        <v/>
      </c>
      <c r="J6" s="3">
        <f>SUMIFS(Round_Results!$U:$U,Round_Results!$B:$B,$A6)</f>
        <v/>
      </c>
      <c r="K6" s="3">
        <f>SUMIFS(Round_Results!$V:$V,Round_Results!$B:$B,$A6)</f>
        <v/>
      </c>
      <c r="L6" s="3">
        <f>SUMIFS(Round_Results!$W:$W,Round_Results!$B:$B,$A6)</f>
        <v/>
      </c>
      <c r="M6" s="3">
        <f>SUMIFS(Round_Results!$X:$X,Round_Results!$B:$B,$A6)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RRP_KMEANS_VNS</t>
        </is>
      </c>
      <c r="C1" s="2" t="inlineStr">
        <is>
          <t>RRP_MS_KMEANS_VNS</t>
        </is>
      </c>
      <c r="D1" s="2" t="inlineStr">
        <is>
          <t>RRP_GA</t>
        </is>
      </c>
      <c r="E1" s="2" t="inlineStr">
        <is>
          <t>RRP_SA</t>
        </is>
      </c>
      <c r="F1" s="2" t="inlineStr">
        <is>
          <t>RRP_GUROBI_MIP</t>
        </is>
      </c>
    </row>
    <row r="2">
      <c r="A2" t="n">
        <v>1</v>
      </c>
      <c r="B2" s="3">
        <f>SUMIFS(Round_Results!$F:$F,Round_Results!$B:$B,B$1,Round_Results!$A:$A,"&lt;="&amp;$A2)</f>
        <v/>
      </c>
      <c r="C2" s="3">
        <f>SUMIFS(Round_Results!$F:$F,Round_Results!$B:$B,C$1,Round_Results!$A:$A,"&lt;="&amp;$A2)</f>
        <v/>
      </c>
      <c r="D2" s="3">
        <f>SUMIFS(Round_Results!$F:$F,Round_Results!$B:$B,D$1,Round_Results!$A:$A,"&lt;="&amp;$A2)</f>
        <v/>
      </c>
      <c r="E2" s="3">
        <f>SUMIFS(Round_Results!$F:$F,Round_Results!$B:$B,E$1,Round_Results!$A:$A,"&lt;="&amp;$A2)</f>
        <v/>
      </c>
      <c r="F2" s="3">
        <f>SUMIFS(Round_Results!$F:$F,Round_Results!$B:$B,F$1,Round_Results!$A:$A,"&lt;="&amp;$A2)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method</t>
        </is>
      </c>
      <c r="B1" s="2" t="inlineStr">
        <is>
          <t>P1_cells_total</t>
        </is>
      </c>
      <c r="C1" s="2" t="inlineStr">
        <is>
          <t>P2_cells_total</t>
        </is>
      </c>
      <c r="D1" s="2" t="inlineStr">
        <is>
          <t>P3_cells_total</t>
        </is>
      </c>
      <c r="E1" s="2" t="inlineStr">
        <is>
          <t>P0_cells_total</t>
        </is>
      </c>
    </row>
    <row r="2">
      <c r="A2" t="inlineStr">
        <is>
          <t>RRP_KMEANS_VNS</t>
        </is>
      </c>
      <c r="B2" s="3">
        <f>SUMIFS(Round_Results!$U:$U,Round_Results!$B:$B,$A2)</f>
        <v/>
      </c>
      <c r="C2" s="3">
        <f>SUMIFS(Round_Results!$V:$V,Round_Results!$B:$B,$A2)</f>
        <v/>
      </c>
      <c r="D2" s="3">
        <f>SUMIFS(Round_Results!$W:$W,Round_Results!$B:$B,$A2)</f>
        <v/>
      </c>
      <c r="E2" s="3">
        <f>SUMIFS(Round_Results!$X:$X,Round_Results!$B:$B,$A2)</f>
        <v/>
      </c>
    </row>
    <row r="3">
      <c r="A3" t="inlineStr">
        <is>
          <t>RRP_MS_KMEANS_VNS</t>
        </is>
      </c>
      <c r="B3" s="3">
        <f>SUMIFS(Round_Results!$U:$U,Round_Results!$B:$B,$A3)</f>
        <v/>
      </c>
      <c r="C3" s="3">
        <f>SUMIFS(Round_Results!$V:$V,Round_Results!$B:$B,$A3)</f>
        <v/>
      </c>
      <c r="D3" s="3">
        <f>SUMIFS(Round_Results!$W:$W,Round_Results!$B:$B,$A3)</f>
        <v/>
      </c>
      <c r="E3" s="3">
        <f>SUMIFS(Round_Results!$X:$X,Round_Results!$B:$B,$A3)</f>
        <v/>
      </c>
    </row>
    <row r="4">
      <c r="A4" t="inlineStr">
        <is>
          <t>RRP_GA</t>
        </is>
      </c>
      <c r="B4" s="3">
        <f>SUMIFS(Round_Results!$U:$U,Round_Results!$B:$B,$A4)</f>
        <v/>
      </c>
      <c r="C4" s="3">
        <f>SUMIFS(Round_Results!$V:$V,Round_Results!$B:$B,$A4)</f>
        <v/>
      </c>
      <c r="D4" s="3">
        <f>SUMIFS(Round_Results!$W:$W,Round_Results!$B:$B,$A4)</f>
        <v/>
      </c>
      <c r="E4" s="3">
        <f>SUMIFS(Round_Results!$X:$X,Round_Results!$B:$B,$A4)</f>
        <v/>
      </c>
    </row>
    <row r="5">
      <c r="A5" t="inlineStr">
        <is>
          <t>RRP_SA</t>
        </is>
      </c>
      <c r="B5" s="3">
        <f>SUMIFS(Round_Results!$U:$U,Round_Results!$B:$B,$A5)</f>
        <v/>
      </c>
      <c r="C5" s="3">
        <f>SUMIFS(Round_Results!$V:$V,Round_Results!$B:$B,$A5)</f>
        <v/>
      </c>
      <c r="D5" s="3">
        <f>SUMIFS(Round_Results!$W:$W,Round_Results!$B:$B,$A5)</f>
        <v/>
      </c>
      <c r="E5" s="3">
        <f>SUMIFS(Round_Results!$X:$X,Round_Results!$B:$B,$A5)</f>
        <v/>
      </c>
    </row>
    <row r="6">
      <c r="A6" t="inlineStr">
        <is>
          <t>RRP_GUROBI_MIP</t>
        </is>
      </c>
      <c r="B6" s="3">
        <f>SUMIFS(Round_Results!$U:$U,Round_Results!$B:$B,$A6)</f>
        <v/>
      </c>
      <c r="C6" s="3">
        <f>SUMIFS(Round_Results!$V:$V,Round_Results!$B:$B,$A6)</f>
        <v/>
      </c>
      <c r="D6" s="3">
        <f>SUMIFS(Round_Results!$W:$W,Round_Results!$B:$B,$A6)</f>
        <v/>
      </c>
      <c r="E6" s="3">
        <f>SUMIFS(Round_Results!$X:$X,Round_Results!$B:$B,$A6)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RRP_KMEANS_VNS</t>
        </is>
      </c>
      <c r="C1" s="2" t="inlineStr">
        <is>
          <t>RRP_MS_KMEANS_VNS</t>
        </is>
      </c>
      <c r="D1" s="2" t="inlineStr">
        <is>
          <t>RRP_GA</t>
        </is>
      </c>
      <c r="E1" s="2" t="inlineStr">
        <is>
          <t>RRP_SA</t>
        </is>
      </c>
      <c r="F1" s="2" t="inlineStr">
        <is>
          <t>RRP_GUROBI_MIP</t>
        </is>
      </c>
    </row>
    <row r="2">
      <c r="A2" t="n">
        <v>1</v>
      </c>
      <c r="B2" s="3">
        <f>SUMIFS(Round_Results!$H:$H,Round_Results!$B:$B,B$1,Round_Results!$A:$A,$A2)</f>
        <v/>
      </c>
      <c r="C2" s="3">
        <f>SUMIFS(Round_Results!$H:$H,Round_Results!$B:$B,C$1,Round_Results!$A:$A,$A2)</f>
        <v/>
      </c>
      <c r="D2" s="3">
        <f>SUMIFS(Round_Results!$H:$H,Round_Results!$B:$B,D$1,Round_Results!$A:$A,$A2)</f>
        <v/>
      </c>
      <c r="E2" s="3">
        <f>SUMIFS(Round_Results!$H:$H,Round_Results!$B:$B,E$1,Round_Results!$A:$A,$A2)</f>
        <v/>
      </c>
      <c r="F2" s="3">
        <f>SUMIFS(Round_Results!$H:$H,Round_Results!$B:$B,F$1,Round_Results!$A:$A,$A2)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2026-05-19T05:22:12Z</dcterms:created>
  <dcterms:modified xsi:type="dcterms:W3CDTF">2026-05-19T05:22:12Z</dcterms:modified>
</cp:coreProperties>
</file>