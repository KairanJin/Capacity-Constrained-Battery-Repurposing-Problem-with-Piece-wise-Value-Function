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ound_Results" sheetId="2" state="visible" r:id="rId2"/>
    <sheet xmlns:r="http://schemas.openxmlformats.org/officeDocument/2006/relationships" name="Method_Summary" sheetId="3" state="visible" r:id="rId3"/>
    <sheet xmlns:r="http://schemas.openxmlformats.org/officeDocument/2006/relationships" name="ChartData_CumReward" sheetId="4" state="visible" r:id="rId4"/>
    <sheet xmlns:r="http://schemas.openxmlformats.org/officeDocument/2006/relationships" name="ChartData_TierCells" sheetId="5" state="visible" r:id="rId5"/>
    <sheet xmlns:r="http://schemas.openxmlformats.org/officeDocument/2006/relationships" name="ChartData_Runtime" sheetId="6" state="visible" r:id="rId6"/>
    <sheet xmlns:r="http://schemas.openxmlformats.org/officeDocument/2006/relationships" name="Char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五种算法每轮累计收益对比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'ChartData_CumReward'!B1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'ChartData_CumReward'!$A$2:$A$11</f>
            </numRef>
          </cat>
          <val>
            <numRef>
              <f>'ChartData_CumReward'!$B$2:$B$11</f>
            </numRef>
          </val>
        </ser>
        <ser>
          <idx val="1"/>
          <order val="1"/>
          <tx>
            <strRef>
              <f>'ChartData_CumReward'!C1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'ChartData_CumReward'!$A$2:$A$11</f>
            </numRef>
          </cat>
          <val>
            <numRef>
              <f>'ChartData_CumReward'!$C$2:$C$11</f>
            </numRef>
          </val>
        </ser>
        <ser>
          <idx val="2"/>
          <order val="2"/>
          <tx>
            <strRef>
              <f>'ChartData_CumReward'!D1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'ChartData_CumReward'!$A$2:$A$11</f>
            </numRef>
          </cat>
          <val>
            <numRef>
              <f>'ChartData_CumReward'!$D$2:$D$11</f>
            </numRef>
          </val>
        </ser>
        <ser>
          <idx val="3"/>
          <order val="3"/>
          <tx>
            <strRef>
              <f>'ChartData_CumReward'!E1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'ChartData_CumReward'!$A$2:$A$11</f>
            </numRef>
          </cat>
          <val>
            <numRef>
              <f>'ChartData_CumReward'!$E$2:$E$11</f>
            </numRef>
          </val>
        </ser>
        <ser>
          <idx val="4"/>
          <order val="4"/>
          <tx>
            <strRef>
              <f>'ChartData_CumReward'!F1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'ChartData_CumReward'!$A$2:$A$11</f>
            </numRef>
          </cat>
          <val>
            <numRef>
              <f>'ChartData_CumReward'!$F$2:$F$11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轮次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累计收益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五种算法在20轮中的各类电芯重组总数量对比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'ChartData_TierCells'!B1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'ChartData_TierCells'!$B$2:$B$6</f>
            </numRef>
          </val>
        </ser>
        <ser>
          <idx val="1"/>
          <order val="1"/>
          <tx>
            <strRef>
              <f>'ChartData_TierCells'!C1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'ChartData_TierCells'!$C$2:$C$6</f>
            </numRef>
          </val>
        </ser>
        <ser>
          <idx val="2"/>
          <order val="2"/>
          <tx>
            <strRef>
              <f>'ChartData_TierCells'!D1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'ChartData_TierCells'!$D$2:$D$6</f>
            </numRef>
          </val>
        </ser>
        <ser>
          <idx val="3"/>
          <order val="3"/>
          <tx>
            <strRef>
              <f>'ChartData_TierCells'!E1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'ChartData_TierCells'!$E$2:$E$6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总重组电芯数量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算法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五种算法每轮运行时间对比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'ChartData_Runtime'!B1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'ChartData_Runtime'!$A$2:$A$11</f>
            </numRef>
          </cat>
          <val>
            <numRef>
              <f>'ChartData_Runtime'!$B$2:$B$11</f>
            </numRef>
          </val>
        </ser>
        <ser>
          <idx val="1"/>
          <order val="1"/>
          <tx>
            <strRef>
              <f>'ChartData_Runtime'!C1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'ChartData_Runtime'!$A$2:$A$11</f>
            </numRef>
          </cat>
          <val>
            <numRef>
              <f>'ChartData_Runtime'!$C$2:$C$11</f>
            </numRef>
          </val>
        </ser>
        <ser>
          <idx val="2"/>
          <order val="2"/>
          <tx>
            <strRef>
              <f>'ChartData_Runtime'!D1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'ChartData_Runtime'!$A$2:$A$11</f>
            </numRef>
          </cat>
          <val>
            <numRef>
              <f>'ChartData_Runtime'!$D$2:$D$11</f>
            </numRef>
          </val>
        </ser>
        <ser>
          <idx val="3"/>
          <order val="3"/>
          <tx>
            <strRef>
              <f>'ChartData_Runtime'!E1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'ChartData_Runtime'!$A$2:$A$11</f>
            </numRef>
          </cat>
          <val>
            <numRef>
              <f>'ChartData_Runtime'!$E$2:$E$11</f>
            </numRef>
          </val>
        </ser>
        <ser>
          <idx val="4"/>
          <order val="4"/>
          <tx>
            <strRef>
              <f>'ChartData_Runtime'!F1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'ChartData_Runtime'!$A$2:$A$11</f>
            </numRef>
          </cat>
          <val>
            <numRef>
              <f>'ChartData_Runtime'!$F$2:$F$11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轮次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运行时间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19</row>
      <rowOff>0</rowOff>
    </from>
    <ext cx="64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19</col>
      <colOff>0</colOff>
      <row>0</row>
      <rowOff>0</rowOff>
    </from>
    <ext cx="648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0" customWidth="1" min="1" max="1"/>
    <col width="25" customWidth="1" min="2" max="2"/>
  </cols>
  <sheetData>
    <row r="1">
      <c r="A1" s="1" t="inlineStr">
        <is>
          <t>20轮重组实验 Excel 模板</t>
        </is>
      </c>
    </row>
    <row r="3">
      <c r="A3" t="inlineStr">
        <is>
          <t>说明：</t>
        </is>
      </c>
    </row>
    <row r="4">
      <c r="A4" t="inlineStr">
        <is>
          <t>1. Round_Results 为逐轮明细表，后续可直接按相同列顺序粘贴数据。</t>
        </is>
      </c>
    </row>
    <row r="5">
      <c r="A5" t="inlineStr">
        <is>
          <t>2. ChartData_CumReward：五种算法每轮累计收益绘图数据。</t>
        </is>
      </c>
    </row>
    <row r="6">
      <c r="A6" t="inlineStr">
        <is>
          <t>3. ChartData_TierCells：五种算法20轮中各类电芯重组总数量绘图数据。</t>
        </is>
      </c>
    </row>
    <row r="7">
      <c r="A7" t="inlineStr">
        <is>
          <t>4. ChartData_Runtime：五种算法每轮运行时间绘图数据。</t>
        </is>
      </c>
    </row>
    <row r="8">
      <c r="A8" t="inlineStr">
        <is>
          <t>5. Charts 工作表内已预置三张图。</t>
        </is>
      </c>
    </row>
    <row r="10">
      <c r="A10" t="inlineStr">
        <is>
          <t>方法列表：</t>
        </is>
      </c>
    </row>
    <row r="11">
      <c r="A11" t="inlineStr">
        <is>
          <t>RRP_KMEANS</t>
        </is>
      </c>
      <c r="B11" t="inlineStr">
        <is>
          <t>KMeans</t>
        </is>
      </c>
    </row>
    <row r="12">
      <c r="A12" t="inlineStr">
        <is>
          <t>RRP_KMEANS_VNS</t>
        </is>
      </c>
      <c r="B12" t="inlineStr">
        <is>
          <t>KMeans_VNS</t>
        </is>
      </c>
    </row>
    <row r="13">
      <c r="A13" t="inlineStr">
        <is>
          <t>RRP_MS_KMEANS_VNS</t>
        </is>
      </c>
      <c r="B13" t="inlineStr">
        <is>
          <t>MS_KMeans_VNS</t>
        </is>
      </c>
    </row>
    <row r="14">
      <c r="A14" t="inlineStr">
        <is>
          <t>RRP_GA</t>
        </is>
      </c>
      <c r="B14" t="inlineStr">
        <is>
          <t>GA</t>
        </is>
      </c>
    </row>
    <row r="15">
      <c r="A15" t="inlineStr">
        <is>
          <t>RRP_COLUMN_GENERATION</t>
        </is>
      </c>
      <c r="B15" t="inlineStr">
        <is>
          <t>ColumnGeneration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0" customWidth="1" min="3" max="3"/>
    <col width="12" customWidth="1" min="4" max="4"/>
    <col width="12" customWidth="1" min="5" max="5"/>
    <col width="14" customWidth="1" min="6" max="6"/>
    <col width="18" customWidth="1" min="7" max="7"/>
    <col width="12" customWidth="1" min="8" max="8"/>
    <col width="10" customWidth="1" min="9" max="9"/>
    <col width="12" customWidth="1" min="10" max="10"/>
    <col width="14" customWidth="1" min="11" max="11"/>
    <col width="14" customWidth="1" min="12" max="12"/>
    <col width="12" customWidth="1" min="13" max="13"/>
    <col width="12" customWidth="1" min="14" max="14"/>
    <col width="16" customWidth="1" min="15" max="15"/>
    <col width="1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28" customWidth="1" min="25" max="25"/>
    <col width="12" customWidth="1" min="26" max="26"/>
  </cols>
  <sheetData>
    <row r="1">
      <c r="A1" s="2" t="inlineStr">
        <is>
          <t>round</t>
        </is>
      </c>
      <c r="B1" s="2" t="inlineStr">
        <is>
          <t>method</t>
        </is>
      </c>
      <c r="C1" s="2" t="inlineStr">
        <is>
          <t>method_label</t>
        </is>
      </c>
      <c r="D1" s="2" t="inlineStr">
        <is>
          <t>new_cells</t>
        </is>
      </c>
      <c r="E1" s="2" t="inlineStr">
        <is>
          <t>pool_before</t>
        </is>
      </c>
      <c r="F1" s="2" t="inlineStr">
        <is>
          <t>reward</t>
        </is>
      </c>
      <c r="G1" s="2" t="inlineStr">
        <is>
          <t>cumulative_reward</t>
        </is>
      </c>
      <c r="H1" s="2" t="inlineStr">
        <is>
          <t>runtime</t>
        </is>
      </c>
      <c r="I1" s="2" t="inlineStr">
        <is>
          <t>n_packs</t>
        </is>
      </c>
      <c r="J1" s="2" t="inlineStr">
        <is>
          <t>used_cells</t>
        </is>
      </c>
      <c r="K1" s="2" t="inlineStr">
        <is>
          <t>leftover_cells</t>
        </is>
      </c>
      <c r="L1" s="2" t="inlineStr">
        <is>
          <t>utilization_rate</t>
        </is>
      </c>
      <c r="M1" s="2" t="inlineStr">
        <is>
          <t>avg_delta</t>
        </is>
      </c>
      <c r="N1" s="2" t="inlineStr">
        <is>
          <t>avg_phi</t>
        </is>
      </c>
      <c r="O1" s="2" t="inlineStr">
        <is>
          <t>reward_per_pack</t>
        </is>
      </c>
      <c r="P1" s="2" t="inlineStr">
        <is>
          <t>positive_pack_ratio</t>
        </is>
      </c>
      <c r="Q1" s="2" t="inlineStr">
        <is>
          <t>P1_packs</t>
        </is>
      </c>
      <c r="R1" s="2" t="inlineStr">
        <is>
          <t>P2_packs</t>
        </is>
      </c>
      <c r="S1" s="2" t="inlineStr">
        <is>
          <t>P3_packs</t>
        </is>
      </c>
      <c r="T1" s="2" t="inlineStr">
        <is>
          <t>P0_packs</t>
        </is>
      </c>
      <c r="U1" s="2" t="inlineStr">
        <is>
          <t>P1_cells</t>
        </is>
      </c>
      <c r="V1" s="2" t="inlineStr">
        <is>
          <t>P2_cells</t>
        </is>
      </c>
      <c r="W1" s="2" t="inlineStr">
        <is>
          <t>P3_cells</t>
        </is>
      </c>
      <c r="X1" s="2" t="inlineStr">
        <is>
          <t>P0_cells</t>
        </is>
      </c>
      <c r="Y1" s="2" t="inlineStr">
        <is>
          <t>tier_distribution</t>
        </is>
      </c>
      <c r="Z1" s="2" t="inlineStr">
        <is>
          <t>n_columns</t>
        </is>
      </c>
    </row>
    <row r="2">
      <c r="A2" t="n">
        <v>1</v>
      </c>
      <c r="B2" t="inlineStr">
        <is>
          <t>RRP_KMEANS</t>
        </is>
      </c>
      <c r="C2" t="inlineStr">
        <is>
          <t>KMeans</t>
        </is>
      </c>
      <c r="D2" t="n">
        <v>400</v>
      </c>
      <c r="E2" t="n">
        <v>400</v>
      </c>
      <c r="F2" s="3" t="n">
        <v>101.9111339040914</v>
      </c>
      <c r="G2" s="3" t="n">
        <v>101.9111339040914</v>
      </c>
      <c r="H2" s="3" t="n">
        <v>0.08423039999979665</v>
      </c>
      <c r="I2" t="n">
        <v>23</v>
      </c>
      <c r="J2" t="n">
        <v>184</v>
      </c>
      <c r="K2" t="n">
        <v>216</v>
      </c>
      <c r="L2" s="4" t="n">
        <v>0.46</v>
      </c>
      <c r="M2" s="3" t="n">
        <v>0.07727486600748511</v>
      </c>
      <c r="N2" s="3" t="n">
        <v>-0.0409931653291449</v>
      </c>
      <c r="O2" s="3" t="n">
        <v>4.430918865395277</v>
      </c>
      <c r="P2" s="4" t="n">
        <v>0.7826086956521739</v>
      </c>
      <c r="Q2" t="n">
        <v>3</v>
      </c>
      <c r="R2" t="n">
        <v>9</v>
      </c>
      <c r="S2" t="n">
        <v>6</v>
      </c>
      <c r="T2" t="n">
        <v>5</v>
      </c>
      <c r="U2" t="n">
        <v>24</v>
      </c>
      <c r="V2" t="n">
        <v>72</v>
      </c>
      <c r="W2" t="n">
        <v>48</v>
      </c>
      <c r="X2" t="n">
        <v>40</v>
      </c>
      <c r="Y2" t="inlineStr">
        <is>
          <t>P1:3, P2:9, P3:6, P0:5</t>
        </is>
      </c>
      <c r="Z2" t="n">
        <v/>
      </c>
    </row>
    <row r="3">
      <c r="A3" t="n">
        <v>1</v>
      </c>
      <c r="B3" t="inlineStr">
        <is>
          <t>RRP_KMEANS_VNS</t>
        </is>
      </c>
      <c r="C3" t="inlineStr">
        <is>
          <t>KMeans_VNS</t>
        </is>
      </c>
      <c r="D3" t="n">
        <v>400</v>
      </c>
      <c r="E3" t="n">
        <v>400</v>
      </c>
      <c r="F3" s="3" t="n">
        <v>203.8962122768235</v>
      </c>
      <c r="G3" s="3" t="n">
        <v>203.8962122768235</v>
      </c>
      <c r="H3" s="3" t="n">
        <v>1.490231600000698</v>
      </c>
      <c r="I3" t="n">
        <v>28</v>
      </c>
      <c r="J3" t="n">
        <v>224</v>
      </c>
      <c r="K3" t="n">
        <v>176</v>
      </c>
      <c r="L3" s="4" t="n">
        <v>0.5600000000000001</v>
      </c>
      <c r="M3" s="3" t="n">
        <v>0.07413408798324539</v>
      </c>
      <c r="N3" s="3" t="n">
        <v>0.3417958970601903</v>
      </c>
      <c r="O3" s="3" t="n">
        <v>7.282007581315123</v>
      </c>
      <c r="P3" s="4" t="n">
        <v>1</v>
      </c>
      <c r="Q3" t="n">
        <v>12</v>
      </c>
      <c r="R3" t="n">
        <v>12</v>
      </c>
      <c r="S3" t="n">
        <v>4</v>
      </c>
      <c r="T3" t="n">
        <v>0</v>
      </c>
      <c r="U3" t="n">
        <v>96</v>
      </c>
      <c r="V3" t="n">
        <v>96</v>
      </c>
      <c r="W3" t="n">
        <v>32</v>
      </c>
      <c r="X3" t="n">
        <v>0</v>
      </c>
      <c r="Y3" t="inlineStr">
        <is>
          <t>P1:12, P2:12, P3:4, P0:0</t>
        </is>
      </c>
      <c r="Z3" t="n">
        <v/>
      </c>
    </row>
    <row r="4">
      <c r="A4" t="n">
        <v>1</v>
      </c>
      <c r="B4" t="inlineStr">
        <is>
          <t>RRP_MS_KMEANS_VNS</t>
        </is>
      </c>
      <c r="C4" t="inlineStr">
        <is>
          <t>MS_KMeans_VNS</t>
        </is>
      </c>
      <c r="D4" t="n">
        <v>400</v>
      </c>
      <c r="E4" t="n">
        <v>400</v>
      </c>
      <c r="F4" s="3" t="n">
        <v>207.9053777670113</v>
      </c>
      <c r="G4" s="3" t="n">
        <v>207.9053777670113</v>
      </c>
      <c r="H4" s="3" t="n">
        <v>9.676461099999869</v>
      </c>
      <c r="I4" t="n">
        <v>27</v>
      </c>
      <c r="J4" t="n">
        <v>216</v>
      </c>
      <c r="K4" t="n">
        <v>184</v>
      </c>
      <c r="L4" s="4" t="n">
        <v>0.54</v>
      </c>
      <c r="M4" s="3" t="n">
        <v>0.07009054295458564</v>
      </c>
      <c r="N4" s="3" t="n">
        <v>0.3580622788361389</v>
      </c>
      <c r="O4" s="3" t="n">
        <v>7.700199176555974</v>
      </c>
      <c r="P4" s="4" t="n">
        <v>1</v>
      </c>
      <c r="Q4" t="n">
        <v>13</v>
      </c>
      <c r="R4" t="n">
        <v>12</v>
      </c>
      <c r="S4" t="n">
        <v>2</v>
      </c>
      <c r="T4" t="n">
        <v>0</v>
      </c>
      <c r="U4" t="n">
        <v>104</v>
      </c>
      <c r="V4" t="n">
        <v>96</v>
      </c>
      <c r="W4" t="n">
        <v>16</v>
      </c>
      <c r="X4" t="n">
        <v>0</v>
      </c>
      <c r="Y4" t="inlineStr">
        <is>
          <t>P1:13, P2:12, P3:2, P0:0</t>
        </is>
      </c>
      <c r="Z4" t="n">
        <v/>
      </c>
    </row>
    <row r="5">
      <c r="A5" t="n">
        <v>1</v>
      </c>
      <c r="B5" t="inlineStr">
        <is>
          <t>RRP_GA</t>
        </is>
      </c>
      <c r="C5" t="inlineStr">
        <is>
          <t>GA</t>
        </is>
      </c>
      <c r="D5" t="n">
        <v>400</v>
      </c>
      <c r="E5" t="n">
        <v>400</v>
      </c>
      <c r="F5" s="3" t="n">
        <v>211.9008076828882</v>
      </c>
      <c r="G5" s="3" t="n">
        <v>211.9008076828882</v>
      </c>
      <c r="H5" s="3" t="n">
        <v>9.048658200000318</v>
      </c>
      <c r="I5" t="n">
        <v>28</v>
      </c>
      <c r="J5" t="n">
        <v>224</v>
      </c>
      <c r="K5" t="n">
        <v>176</v>
      </c>
      <c r="L5" s="4" t="n">
        <v>0.5600000000000001</v>
      </c>
      <c r="M5" s="3" t="n">
        <v>0.07085165507987386</v>
      </c>
      <c r="N5" s="3" t="n">
        <v>0.3471595712073924</v>
      </c>
      <c r="O5" s="3" t="n">
        <v>7.567885988674578</v>
      </c>
      <c r="P5" s="4" t="n">
        <v>1</v>
      </c>
      <c r="Q5" t="n">
        <v>14</v>
      </c>
      <c r="R5" t="n">
        <v>10</v>
      </c>
      <c r="S5" t="n">
        <v>4</v>
      </c>
      <c r="T5" t="n">
        <v>0</v>
      </c>
      <c r="U5" t="n">
        <v>112</v>
      </c>
      <c r="V5" t="n">
        <v>80</v>
      </c>
      <c r="W5" t="n">
        <v>32</v>
      </c>
      <c r="X5" t="n">
        <v>0</v>
      </c>
      <c r="Y5" t="inlineStr">
        <is>
          <t>P1:14, P2:10, P3:4, P0:0</t>
        </is>
      </c>
      <c r="Z5" t="n">
        <v/>
      </c>
    </row>
    <row r="6">
      <c r="A6" t="n">
        <v>1</v>
      </c>
      <c r="B6" t="inlineStr">
        <is>
          <t>RRP_COLUMN_GENERATION</t>
        </is>
      </c>
      <c r="C6" t="inlineStr">
        <is>
          <t>ColumnGeneration</t>
        </is>
      </c>
      <c r="D6" t="n">
        <v>400</v>
      </c>
      <c r="E6" t="n">
        <v>400</v>
      </c>
      <c r="F6" s="3" t="n">
        <v>216.9316432722518</v>
      </c>
      <c r="G6" s="3" t="n">
        <v>216.9316432722518</v>
      </c>
      <c r="H6" s="3" t="n">
        <v>5.39741850000064</v>
      </c>
      <c r="I6" t="n">
        <v>30</v>
      </c>
      <c r="J6" t="n">
        <v>240</v>
      </c>
      <c r="K6" t="n">
        <v>160</v>
      </c>
      <c r="L6" s="4" t="n">
        <v>0.6</v>
      </c>
      <c r="M6" s="3" t="n">
        <v>0.04557115183207469</v>
      </c>
      <c r="N6" s="3" t="n">
        <v>0.3571683220384589</v>
      </c>
      <c r="O6" s="3" t="n">
        <v>7.231054775741727</v>
      </c>
      <c r="P6" s="4" t="n">
        <v>1</v>
      </c>
      <c r="Q6" t="n">
        <v>13</v>
      </c>
      <c r="R6" t="n">
        <v>12</v>
      </c>
      <c r="S6" t="n">
        <v>5</v>
      </c>
      <c r="T6" t="n">
        <v>0</v>
      </c>
      <c r="U6" t="n">
        <v>104</v>
      </c>
      <c r="V6" t="n">
        <v>96</v>
      </c>
      <c r="W6" t="n">
        <v>40</v>
      </c>
      <c r="X6" t="n">
        <v>0</v>
      </c>
      <c r="Y6" t="inlineStr">
        <is>
          <t>P1:13, P2:12, P3:5, P0:0</t>
        </is>
      </c>
      <c r="Z6" t="n">
        <v>716</v>
      </c>
    </row>
    <row r="7">
      <c r="A7" t="n">
        <v>2</v>
      </c>
      <c r="B7" t="inlineStr">
        <is>
          <t>RRP_KMEANS</t>
        </is>
      </c>
      <c r="C7" t="inlineStr">
        <is>
          <t>KMeans</t>
        </is>
      </c>
      <c r="D7" t="n">
        <v>400</v>
      </c>
      <c r="E7" t="n">
        <v>616</v>
      </c>
      <c r="F7" s="3" t="n">
        <v>100.9050515789114</v>
      </c>
      <c r="G7" s="3" t="n">
        <v>202.8161854830028</v>
      </c>
      <c r="H7" s="3" t="n">
        <v>0.133941600000071</v>
      </c>
      <c r="I7" t="n">
        <v>21</v>
      </c>
      <c r="J7" t="n">
        <v>168</v>
      </c>
      <c r="K7" t="n">
        <v>448</v>
      </c>
      <c r="L7" s="4" t="n">
        <v>0.2727272727272727</v>
      </c>
      <c r="M7" s="3" t="n">
        <v>0.09042706770340263</v>
      </c>
      <c r="N7" s="3" t="n">
        <v>-0.01101067148273812</v>
      </c>
      <c r="O7" s="3" t="n">
        <v>4.80500245613864</v>
      </c>
      <c r="P7" s="4" t="n">
        <v>0.8095238095238095</v>
      </c>
      <c r="Q7" t="n">
        <v>5</v>
      </c>
      <c r="R7" t="n">
        <v>5</v>
      </c>
      <c r="S7" t="n">
        <v>7</v>
      </c>
      <c r="T7" t="n">
        <v>4</v>
      </c>
      <c r="U7" t="n">
        <v>40</v>
      </c>
      <c r="V7" t="n">
        <v>40</v>
      </c>
      <c r="W7" t="n">
        <v>56</v>
      </c>
      <c r="X7" t="n">
        <v>32</v>
      </c>
      <c r="Y7" t="inlineStr">
        <is>
          <t>P1:5, P2:5, P3:7, P0:4</t>
        </is>
      </c>
      <c r="Z7" t="n">
        <v/>
      </c>
    </row>
    <row r="8">
      <c r="A8" t="n">
        <v>2</v>
      </c>
      <c r="B8" t="inlineStr">
        <is>
          <t>RRP_KMEANS_VNS</t>
        </is>
      </c>
      <c r="C8" t="inlineStr">
        <is>
          <t>KMeans_VNS</t>
        </is>
      </c>
      <c r="D8" t="n">
        <v>400</v>
      </c>
      <c r="E8" t="n">
        <v>576</v>
      </c>
      <c r="F8" s="3" t="n">
        <v>216.9184262352576</v>
      </c>
      <c r="G8" s="3" t="n">
        <v>420.814638512081</v>
      </c>
      <c r="H8" s="3" t="n">
        <v>3.049941299999773</v>
      </c>
      <c r="I8" t="n">
        <v>28</v>
      </c>
      <c r="J8" t="n">
        <v>224</v>
      </c>
      <c r="K8" t="n">
        <v>352</v>
      </c>
      <c r="L8" s="4" t="n">
        <v>0.3888888888888889</v>
      </c>
      <c r="M8" s="3" t="n">
        <v>0.05826697481599221</v>
      </c>
      <c r="N8" s="3" t="n">
        <v>0.448207896170846</v>
      </c>
      <c r="O8" s="3" t="n">
        <v>7.747086651259201</v>
      </c>
      <c r="P8" s="4" t="n">
        <v>1</v>
      </c>
      <c r="Q8" t="n">
        <v>16</v>
      </c>
      <c r="R8" t="n">
        <v>7</v>
      </c>
      <c r="S8" t="n">
        <v>5</v>
      </c>
      <c r="T8" t="n">
        <v>0</v>
      </c>
      <c r="U8" t="n">
        <v>128</v>
      </c>
      <c r="V8" t="n">
        <v>56</v>
      </c>
      <c r="W8" t="n">
        <v>40</v>
      </c>
      <c r="X8" t="n">
        <v>0</v>
      </c>
      <c r="Y8" t="inlineStr">
        <is>
          <t>P1:16, P2:7, P3:5, P0:0</t>
        </is>
      </c>
      <c r="Z8" t="n">
        <v/>
      </c>
    </row>
    <row r="9">
      <c r="A9" t="n">
        <v>2</v>
      </c>
      <c r="B9" t="inlineStr">
        <is>
          <t>RRP_MS_KMEANS_VNS</t>
        </is>
      </c>
      <c r="C9" t="inlineStr">
        <is>
          <t>MS_KMeans_VNS</t>
        </is>
      </c>
      <c r="D9" t="n">
        <v>400</v>
      </c>
      <c r="E9" t="n">
        <v>584</v>
      </c>
      <c r="F9" s="3" t="n">
        <v>235.9268521542992</v>
      </c>
      <c r="G9" s="3" t="n">
        <v>443.8322299213105</v>
      </c>
      <c r="H9" s="3" t="n">
        <v>17.82412459999978</v>
      </c>
      <c r="I9" t="n">
        <v>28</v>
      </c>
      <c r="J9" t="n">
        <v>224</v>
      </c>
      <c r="K9" t="n">
        <v>360</v>
      </c>
      <c r="L9" s="4" t="n">
        <v>0.3835616438356164</v>
      </c>
      <c r="M9" s="3" t="n">
        <v>0.05224846121488008</v>
      </c>
      <c r="N9" s="3" t="n">
        <v>0.5671501311082779</v>
      </c>
      <c r="O9" s="3" t="n">
        <v>8.425959005510686</v>
      </c>
      <c r="P9" s="4" t="n">
        <v>1</v>
      </c>
      <c r="Q9" t="n">
        <v>17</v>
      </c>
      <c r="R9" t="n">
        <v>11</v>
      </c>
      <c r="S9" t="n">
        <v>0</v>
      </c>
      <c r="T9" t="n">
        <v>0</v>
      </c>
      <c r="U9" t="n">
        <v>136</v>
      </c>
      <c r="V9" t="n">
        <v>88</v>
      </c>
      <c r="W9" t="n">
        <v>0</v>
      </c>
      <c r="X9" t="n">
        <v>0</v>
      </c>
      <c r="Y9" t="inlineStr">
        <is>
          <t>P1:17, P2:11, P3:0, P0:0</t>
        </is>
      </c>
      <c r="Z9" t="n">
        <v/>
      </c>
    </row>
    <row r="10">
      <c r="A10" t="n">
        <v>2</v>
      </c>
      <c r="B10" t="inlineStr">
        <is>
          <t>RRP_GA</t>
        </is>
      </c>
      <c r="C10" t="inlineStr">
        <is>
          <t>GA</t>
        </is>
      </c>
      <c r="D10" t="n">
        <v>400</v>
      </c>
      <c r="E10" t="n">
        <v>576</v>
      </c>
      <c r="F10" s="3" t="n">
        <v>203.9264589888226</v>
      </c>
      <c r="G10" s="3" t="n">
        <v>415.8272666717108</v>
      </c>
      <c r="H10" s="3" t="n">
        <v>12.6683667999996</v>
      </c>
      <c r="I10" t="n">
        <v>28</v>
      </c>
      <c r="J10" t="n">
        <v>224</v>
      </c>
      <c r="K10" t="n">
        <v>352</v>
      </c>
      <c r="L10" s="4" t="n">
        <v>0.3888888888888889</v>
      </c>
      <c r="M10" s="3" t="n">
        <v>0.05252929369809906</v>
      </c>
      <c r="N10" s="3" t="n">
        <v>0.4046352980473991</v>
      </c>
      <c r="O10" s="3" t="n">
        <v>7.283087821029379</v>
      </c>
      <c r="P10" s="4" t="n">
        <v>1</v>
      </c>
      <c r="Q10" t="n">
        <v>15</v>
      </c>
      <c r="R10" t="n">
        <v>5</v>
      </c>
      <c r="S10" t="n">
        <v>8</v>
      </c>
      <c r="T10" t="n">
        <v>0</v>
      </c>
      <c r="U10" t="n">
        <v>120</v>
      </c>
      <c r="V10" t="n">
        <v>40</v>
      </c>
      <c r="W10" t="n">
        <v>64</v>
      </c>
      <c r="X10" t="n">
        <v>0</v>
      </c>
      <c r="Y10" t="inlineStr">
        <is>
          <t>P1:15, P2:5, P3:8, P0:0</t>
        </is>
      </c>
      <c r="Z10" t="n">
        <v/>
      </c>
    </row>
    <row r="11">
      <c r="A11" t="n">
        <v>2</v>
      </c>
      <c r="B11" t="inlineStr">
        <is>
          <t>RRP_COLUMN_GENERATION</t>
        </is>
      </c>
      <c r="C11" t="inlineStr">
        <is>
          <t>ColumnGeneration</t>
        </is>
      </c>
      <c r="D11" t="n">
        <v>400</v>
      </c>
      <c r="E11" t="n">
        <v>560</v>
      </c>
      <c r="F11" s="3" t="n">
        <v>232.9409757541684</v>
      </c>
      <c r="G11" s="3" t="n">
        <v>449.8726190264202</v>
      </c>
      <c r="H11" s="3" t="n">
        <v>6.176807899999403</v>
      </c>
      <c r="I11" t="n">
        <v>30</v>
      </c>
      <c r="J11" t="n">
        <v>240</v>
      </c>
      <c r="K11" t="n">
        <v>320</v>
      </c>
      <c r="L11" s="4" t="n">
        <v>0.4285714285714285</v>
      </c>
      <c r="M11" s="3" t="n">
        <v>0.03934949722103111</v>
      </c>
      <c r="N11" s="3" t="n">
        <v>0.4715268540938761</v>
      </c>
      <c r="O11" s="3" t="n">
        <v>7.764699191805615</v>
      </c>
      <c r="P11" s="4" t="n">
        <v>1</v>
      </c>
      <c r="Q11" t="n">
        <v>14</v>
      </c>
      <c r="R11" t="n">
        <v>15</v>
      </c>
      <c r="S11" t="n">
        <v>1</v>
      </c>
      <c r="T11" t="n">
        <v>0</v>
      </c>
      <c r="U11" t="n">
        <v>112</v>
      </c>
      <c r="V11" t="n">
        <v>120</v>
      </c>
      <c r="W11" t="n">
        <v>8</v>
      </c>
      <c r="X11" t="n">
        <v>0</v>
      </c>
      <c r="Y11" t="inlineStr">
        <is>
          <t>P1:14, P2:15, P3:1, P0:0</t>
        </is>
      </c>
      <c r="Z11" t="n">
        <v>756</v>
      </c>
    </row>
    <row r="12">
      <c r="A12" t="n">
        <v>3</v>
      </c>
      <c r="B12" t="inlineStr">
        <is>
          <t>RRP_KMEANS</t>
        </is>
      </c>
      <c r="C12" t="inlineStr">
        <is>
          <t>KMeans</t>
        </is>
      </c>
      <c r="D12" t="n">
        <v>400</v>
      </c>
      <c r="E12" t="n">
        <v>848</v>
      </c>
      <c r="F12" s="3" t="n">
        <v>109.9145145386709</v>
      </c>
      <c r="G12" s="3" t="n">
        <v>312.7307000216738</v>
      </c>
      <c r="H12" s="3" t="n">
        <v>0.1228809000003821</v>
      </c>
      <c r="I12" t="n">
        <v>21</v>
      </c>
      <c r="J12" t="n">
        <v>168</v>
      </c>
      <c r="K12" t="n">
        <v>680</v>
      </c>
      <c r="L12" s="4" t="n">
        <v>0.1981132075471698</v>
      </c>
      <c r="M12" s="3" t="n">
        <v>0.08141472507527708</v>
      </c>
      <c r="N12" s="3" t="n">
        <v>0.1493029961919633</v>
      </c>
      <c r="O12" s="3" t="n">
        <v>5.234024501841473</v>
      </c>
      <c r="P12" s="4" t="n">
        <v>0.8571428571428571</v>
      </c>
      <c r="Q12" t="n">
        <v>5</v>
      </c>
      <c r="R12" t="n">
        <v>7</v>
      </c>
      <c r="S12" t="n">
        <v>6</v>
      </c>
      <c r="T12" t="n">
        <v>3</v>
      </c>
      <c r="U12" t="n">
        <v>40</v>
      </c>
      <c r="V12" t="n">
        <v>56</v>
      </c>
      <c r="W12" t="n">
        <v>48</v>
      </c>
      <c r="X12" t="n">
        <v>24</v>
      </c>
      <c r="Y12" t="inlineStr">
        <is>
          <t>P1:5, P2:7, P3:6, P0:3</t>
        </is>
      </c>
      <c r="Z12" t="n">
        <v/>
      </c>
    </row>
    <row r="13">
      <c r="A13" t="n">
        <v>3</v>
      </c>
      <c r="B13" t="inlineStr">
        <is>
          <t>RRP_KMEANS_VNS</t>
        </is>
      </c>
      <c r="C13" t="inlineStr">
        <is>
          <t>KMeans_VNS</t>
        </is>
      </c>
      <c r="D13" t="n">
        <v>400</v>
      </c>
      <c r="E13" t="n">
        <v>752</v>
      </c>
      <c r="F13" s="3" t="n">
        <v>199.9352756355984</v>
      </c>
      <c r="G13" s="3" t="n">
        <v>620.7499141476794</v>
      </c>
      <c r="H13" s="3" t="n">
        <v>5.601573500000086</v>
      </c>
      <c r="I13" t="n">
        <v>26</v>
      </c>
      <c r="J13" t="n">
        <v>208</v>
      </c>
      <c r="K13" t="n">
        <v>544</v>
      </c>
      <c r="L13" s="4" t="n">
        <v>0.2765957446808511</v>
      </c>
      <c r="M13" s="3" t="n">
        <v>0.04978797261661409</v>
      </c>
      <c r="N13" s="3" t="n">
        <v>0.5077813551677912</v>
      </c>
      <c r="O13" s="3" t="n">
        <v>7.689818293676863</v>
      </c>
      <c r="P13" s="4" t="n">
        <v>1</v>
      </c>
      <c r="Q13" t="n">
        <v>11</v>
      </c>
      <c r="R13" t="n">
        <v>15</v>
      </c>
      <c r="S13" t="n">
        <v>0</v>
      </c>
      <c r="T13" t="n">
        <v>0</v>
      </c>
      <c r="U13" t="n">
        <v>88</v>
      </c>
      <c r="V13" t="n">
        <v>120</v>
      </c>
      <c r="W13" t="n">
        <v>0</v>
      </c>
      <c r="X13" t="n">
        <v>0</v>
      </c>
      <c r="Y13" t="inlineStr">
        <is>
          <t>P1:11, P2:15, P3:0, P0:0</t>
        </is>
      </c>
      <c r="Z13" t="n">
        <v/>
      </c>
    </row>
    <row r="14">
      <c r="A14" t="n">
        <v>3</v>
      </c>
      <c r="B14" t="inlineStr">
        <is>
          <t>RRP_MS_KMEANS_VNS</t>
        </is>
      </c>
      <c r="C14" t="inlineStr">
        <is>
          <t>MS_KMeans_VNS</t>
        </is>
      </c>
      <c r="D14" t="n">
        <v>400</v>
      </c>
      <c r="E14" t="n">
        <v>760</v>
      </c>
      <c r="F14" s="3" t="n">
        <v>188.9374147732968</v>
      </c>
      <c r="G14" s="3" t="n">
        <v>632.7696446946073</v>
      </c>
      <c r="H14" s="3" t="n">
        <v>24.3996803</v>
      </c>
      <c r="I14" t="n">
        <v>26</v>
      </c>
      <c r="J14" t="n">
        <v>208</v>
      </c>
      <c r="K14" t="n">
        <v>552</v>
      </c>
      <c r="L14" s="4" t="n">
        <v>0.2736842105263158</v>
      </c>
      <c r="M14" s="3" t="n">
        <v>0.04814248207934418</v>
      </c>
      <c r="N14" s="3" t="n">
        <v>0.4061195585140385</v>
      </c>
      <c r="O14" s="3" t="n">
        <v>7.266823645126801</v>
      </c>
      <c r="P14" s="4" t="n">
        <v>1</v>
      </c>
      <c r="Q14" t="n">
        <v>12</v>
      </c>
      <c r="R14" t="n">
        <v>9</v>
      </c>
      <c r="S14" t="n">
        <v>5</v>
      </c>
      <c r="T14" t="n">
        <v>0</v>
      </c>
      <c r="U14" t="n">
        <v>96</v>
      </c>
      <c r="V14" t="n">
        <v>72</v>
      </c>
      <c r="W14" t="n">
        <v>40</v>
      </c>
      <c r="X14" t="n">
        <v>0</v>
      </c>
      <c r="Y14" t="inlineStr">
        <is>
          <t>P1:12, P2:9, P3:5, P0:0</t>
        </is>
      </c>
      <c r="Z14" t="n">
        <v/>
      </c>
    </row>
    <row r="15">
      <c r="A15" t="n">
        <v>3</v>
      </c>
      <c r="B15" t="inlineStr">
        <is>
          <t>RRP_GA</t>
        </is>
      </c>
      <c r="C15" t="inlineStr">
        <is>
          <t>GA</t>
        </is>
      </c>
      <c r="D15" t="n">
        <v>400</v>
      </c>
      <c r="E15" t="n">
        <v>752</v>
      </c>
      <c r="F15" s="3" t="n">
        <v>157.9227438112033</v>
      </c>
      <c r="G15" s="3" t="n">
        <v>573.7500104829141</v>
      </c>
      <c r="H15" s="3" t="n">
        <v>12.58180689999972</v>
      </c>
      <c r="I15" t="n">
        <v>26</v>
      </c>
      <c r="J15" t="n">
        <v>208</v>
      </c>
      <c r="K15" t="n">
        <v>544</v>
      </c>
      <c r="L15" s="4" t="n">
        <v>0.2765957446808511</v>
      </c>
      <c r="M15" s="3" t="n">
        <v>0.05942783753587994</v>
      </c>
      <c r="N15" s="3" t="n">
        <v>0.1767174905944146</v>
      </c>
      <c r="O15" s="3" t="n">
        <v>6.073951685046282</v>
      </c>
      <c r="P15" s="4" t="n">
        <v>0.8846153846153846</v>
      </c>
      <c r="Q15" t="n">
        <v>11</v>
      </c>
      <c r="R15" t="n">
        <v>4</v>
      </c>
      <c r="S15" t="n">
        <v>8</v>
      </c>
      <c r="T15" t="n">
        <v>3</v>
      </c>
      <c r="U15" t="n">
        <v>88</v>
      </c>
      <c r="V15" t="n">
        <v>32</v>
      </c>
      <c r="W15" t="n">
        <v>64</v>
      </c>
      <c r="X15" t="n">
        <v>24</v>
      </c>
      <c r="Y15" t="inlineStr">
        <is>
          <t>P1:11, P2:4, P3:8, P0:3</t>
        </is>
      </c>
      <c r="Z15" t="n">
        <v/>
      </c>
    </row>
    <row r="16">
      <c r="A16" t="n">
        <v>3</v>
      </c>
      <c r="B16" t="inlineStr">
        <is>
          <t>RRP_COLUMN_GENERATION</t>
        </is>
      </c>
      <c r="C16" t="inlineStr">
        <is>
          <t>ColumnGeneration</t>
        </is>
      </c>
      <c r="D16" t="n">
        <v>400</v>
      </c>
      <c r="E16" t="n">
        <v>720</v>
      </c>
      <c r="F16" s="3" t="n">
        <v>219.9386597120557</v>
      </c>
      <c r="G16" s="3" t="n">
        <v>669.8112787384759</v>
      </c>
      <c r="H16" s="3" t="n">
        <v>7.169327900000098</v>
      </c>
      <c r="I16" t="n">
        <v>30</v>
      </c>
      <c r="J16" t="n">
        <v>240</v>
      </c>
      <c r="K16" t="n">
        <v>480</v>
      </c>
      <c r="L16" s="4" t="n">
        <v>0.3333333333333333</v>
      </c>
      <c r="M16" s="3" t="n">
        <v>0.04089352529622516</v>
      </c>
      <c r="N16" s="3" t="n">
        <v>0.4091229435651684</v>
      </c>
      <c r="O16" s="3" t="n">
        <v>7.331288657068522</v>
      </c>
      <c r="P16" s="4" t="n">
        <v>1</v>
      </c>
      <c r="Q16" t="n">
        <v>13</v>
      </c>
      <c r="R16" t="n">
        <v>13</v>
      </c>
      <c r="S16" t="n">
        <v>4</v>
      </c>
      <c r="T16" t="n">
        <v>0</v>
      </c>
      <c r="U16" t="n">
        <v>104</v>
      </c>
      <c r="V16" t="n">
        <v>104</v>
      </c>
      <c r="W16" t="n">
        <v>32</v>
      </c>
      <c r="X16" t="n">
        <v>0</v>
      </c>
      <c r="Y16" t="inlineStr">
        <is>
          <t>P1:13, P2:13, P3:4, P0:0</t>
        </is>
      </c>
      <c r="Z16" t="n">
        <v>739</v>
      </c>
    </row>
    <row r="17">
      <c r="A17" t="n">
        <v>4</v>
      </c>
      <c r="B17" t="inlineStr">
        <is>
          <t>RRP_KMEANS</t>
        </is>
      </c>
      <c r="C17" t="inlineStr">
        <is>
          <t>KMeans</t>
        </is>
      </c>
      <c r="D17" t="n">
        <v>400</v>
      </c>
      <c r="E17" t="n">
        <v>1080</v>
      </c>
      <c r="F17" s="3" t="n">
        <v>99.90497032788706</v>
      </c>
      <c r="G17" s="3" t="n">
        <v>412.6356703495608</v>
      </c>
      <c r="H17" s="3" t="n">
        <v>0.1443752999994103</v>
      </c>
      <c r="I17" t="n">
        <v>20</v>
      </c>
      <c r="J17" t="n">
        <v>160</v>
      </c>
      <c r="K17" t="n">
        <v>920</v>
      </c>
      <c r="L17" s="4" t="n">
        <v>0.1481481481481481</v>
      </c>
      <c r="M17" s="3" t="n">
        <v>0.09502967211293085</v>
      </c>
      <c r="N17" s="3" t="n">
        <v>0.07959297336173068</v>
      </c>
      <c r="O17" s="3" t="n">
        <v>4.995248516394353</v>
      </c>
      <c r="P17" s="4" t="n">
        <v>0.75</v>
      </c>
      <c r="Q17" t="n">
        <v>7</v>
      </c>
      <c r="R17" t="n">
        <v>2</v>
      </c>
      <c r="S17" t="n">
        <v>6</v>
      </c>
      <c r="T17" t="n">
        <v>5</v>
      </c>
      <c r="U17" t="n">
        <v>56</v>
      </c>
      <c r="V17" t="n">
        <v>16</v>
      </c>
      <c r="W17" t="n">
        <v>48</v>
      </c>
      <c r="X17" t="n">
        <v>40</v>
      </c>
      <c r="Y17" t="inlineStr">
        <is>
          <t>P1:7, P2:2, P3:6, P0:5</t>
        </is>
      </c>
      <c r="Z17" t="n">
        <v/>
      </c>
    </row>
    <row r="18">
      <c r="A18" t="n">
        <v>4</v>
      </c>
      <c r="B18" t="inlineStr">
        <is>
          <t>RRP_KMEANS_VNS</t>
        </is>
      </c>
      <c r="C18" t="inlineStr">
        <is>
          <t>KMeans_VNS</t>
        </is>
      </c>
      <c r="D18" t="n">
        <v>400</v>
      </c>
      <c r="E18" t="n">
        <v>944</v>
      </c>
      <c r="F18" s="3" t="n">
        <v>187.9449015557079</v>
      </c>
      <c r="G18" s="3" t="n">
        <v>808.6948157033873</v>
      </c>
      <c r="H18" s="3" t="n">
        <v>6.585619100000258</v>
      </c>
      <c r="I18" t="n">
        <v>24</v>
      </c>
      <c r="J18" t="n">
        <v>192</v>
      </c>
      <c r="K18" t="n">
        <v>752</v>
      </c>
      <c r="L18" s="4" t="n">
        <v>0.2033898305084746</v>
      </c>
      <c r="M18" s="3" t="n">
        <v>0.04591537024346548</v>
      </c>
      <c r="N18" s="3" t="n">
        <v>0.4909775341820361</v>
      </c>
      <c r="O18" s="3" t="n">
        <v>7.831037564821162</v>
      </c>
      <c r="P18" s="4" t="n">
        <v>1</v>
      </c>
      <c r="Q18" t="n">
        <v>11</v>
      </c>
      <c r="R18" t="n">
        <v>13</v>
      </c>
      <c r="S18" t="n">
        <v>0</v>
      </c>
      <c r="T18" t="n">
        <v>0</v>
      </c>
      <c r="U18" t="n">
        <v>88</v>
      </c>
      <c r="V18" t="n">
        <v>104</v>
      </c>
      <c r="W18" t="n">
        <v>0</v>
      </c>
      <c r="X18" t="n">
        <v>0</v>
      </c>
      <c r="Y18" t="inlineStr">
        <is>
          <t>P1:11, P2:13, P3:0, P0:0</t>
        </is>
      </c>
      <c r="Z18" t="n">
        <v/>
      </c>
    </row>
    <row r="19">
      <c r="A19" t="n">
        <v>4</v>
      </c>
      <c r="B19" t="inlineStr">
        <is>
          <t>RRP_MS_KMEANS_VNS</t>
        </is>
      </c>
      <c r="C19" t="inlineStr">
        <is>
          <t>MS_KMeans_VNS</t>
        </is>
      </c>
      <c r="D19" t="n">
        <v>400</v>
      </c>
      <c r="E19" t="n">
        <v>952</v>
      </c>
      <c r="F19" s="3" t="n">
        <v>191.9385140296165</v>
      </c>
      <c r="G19" s="3" t="n">
        <v>824.7081587242238</v>
      </c>
      <c r="H19" s="3" t="n">
        <v>44.8836895000004</v>
      </c>
      <c r="I19" t="n">
        <v>24</v>
      </c>
      <c r="J19" t="n">
        <v>192</v>
      </c>
      <c r="K19" t="n">
        <v>760</v>
      </c>
      <c r="L19" s="4" t="n">
        <v>0.2016806722689076</v>
      </c>
      <c r="M19" s="3" t="n">
        <v>0.05123830865289582</v>
      </c>
      <c r="N19" s="3" t="n">
        <v>0.4788226564211886</v>
      </c>
      <c r="O19" s="3" t="n">
        <v>7.997438084567354</v>
      </c>
      <c r="P19" s="4" t="n">
        <v>1</v>
      </c>
      <c r="Q19" t="n">
        <v>12</v>
      </c>
      <c r="R19" t="n">
        <v>12</v>
      </c>
      <c r="S19" t="n">
        <v>0</v>
      </c>
      <c r="T19" t="n">
        <v>0</v>
      </c>
      <c r="U19" t="n">
        <v>96</v>
      </c>
      <c r="V19" t="n">
        <v>96</v>
      </c>
      <c r="W19" t="n">
        <v>0</v>
      </c>
      <c r="X19" t="n">
        <v>0</v>
      </c>
      <c r="Y19" t="inlineStr">
        <is>
          <t>P1:12, P2:12, P3:0, P0:0</t>
        </is>
      </c>
      <c r="Z19" t="n">
        <v/>
      </c>
    </row>
    <row r="20">
      <c r="A20" t="n">
        <v>4</v>
      </c>
      <c r="B20" t="inlineStr">
        <is>
          <t>RRP_GA</t>
        </is>
      </c>
      <c r="C20" t="inlineStr">
        <is>
          <t>GA</t>
        </is>
      </c>
      <c r="D20" t="n">
        <v>400</v>
      </c>
      <c r="E20" t="n">
        <v>944</v>
      </c>
      <c r="F20" s="3" t="n">
        <v>144.923085534959</v>
      </c>
      <c r="G20" s="3" t="n">
        <v>718.6730960178731</v>
      </c>
      <c r="H20" s="3" t="n">
        <v>17.84146609999971</v>
      </c>
      <c r="I20" t="n">
        <v>25</v>
      </c>
      <c r="J20" t="n">
        <v>200</v>
      </c>
      <c r="K20" t="n">
        <v>744</v>
      </c>
      <c r="L20" s="4" t="n">
        <v>0.211864406779661</v>
      </c>
      <c r="M20" s="3" t="n">
        <v>0.06153157203282048</v>
      </c>
      <c r="N20" s="3" t="n">
        <v>0.06873141097995274</v>
      </c>
      <c r="O20" s="3" t="n">
        <v>5.796923421398358</v>
      </c>
      <c r="P20" s="4" t="n">
        <v>0.8</v>
      </c>
      <c r="Q20" t="n">
        <v>10</v>
      </c>
      <c r="R20" t="n">
        <v>5</v>
      </c>
      <c r="S20" t="n">
        <v>5</v>
      </c>
      <c r="T20" t="n">
        <v>5</v>
      </c>
      <c r="U20" t="n">
        <v>80</v>
      </c>
      <c r="V20" t="n">
        <v>40</v>
      </c>
      <c r="W20" t="n">
        <v>40</v>
      </c>
      <c r="X20" t="n">
        <v>40</v>
      </c>
      <c r="Y20" t="inlineStr">
        <is>
          <t>P1:10, P2:5, P3:5, P0:5</t>
        </is>
      </c>
      <c r="Z20" t="n">
        <v/>
      </c>
    </row>
    <row r="21">
      <c r="A21" t="n">
        <v>4</v>
      </c>
      <c r="B21" t="inlineStr">
        <is>
          <t>RRP_COLUMN_GENERATION</t>
        </is>
      </c>
      <c r="C21" t="inlineStr">
        <is>
          <t>ColumnGeneration</t>
        </is>
      </c>
      <c r="D21" t="n">
        <v>400</v>
      </c>
      <c r="E21" t="n">
        <v>880</v>
      </c>
      <c r="F21" s="3" t="n">
        <v>199.9545011644894</v>
      </c>
      <c r="G21" s="3" t="n">
        <v>869.7657799029653</v>
      </c>
      <c r="H21" s="3" t="n">
        <v>4.905681899999763</v>
      </c>
      <c r="I21" t="n">
        <v>30</v>
      </c>
      <c r="J21" t="n">
        <v>240</v>
      </c>
      <c r="K21" t="n">
        <v>640</v>
      </c>
      <c r="L21" s="4" t="n">
        <v>0.2727272727272727</v>
      </c>
      <c r="M21" s="3" t="n">
        <v>0.03033255700709592</v>
      </c>
      <c r="N21" s="3" t="n">
        <v>0.2768724841562165</v>
      </c>
      <c r="O21" s="3" t="n">
        <v>6.665150038816312</v>
      </c>
      <c r="P21" s="4" t="n">
        <v>1</v>
      </c>
      <c r="Q21" t="n">
        <v>11</v>
      </c>
      <c r="R21" t="n">
        <v>11</v>
      </c>
      <c r="S21" t="n">
        <v>8</v>
      </c>
      <c r="T21" t="n">
        <v>0</v>
      </c>
      <c r="U21" t="n">
        <v>88</v>
      </c>
      <c r="V21" t="n">
        <v>88</v>
      </c>
      <c r="W21" t="n">
        <v>64</v>
      </c>
      <c r="X21" t="n">
        <v>0</v>
      </c>
      <c r="Y21" t="inlineStr">
        <is>
          <t>P1:11, P2:11, P3:8, P0:0</t>
        </is>
      </c>
      <c r="Z21" t="n">
        <v>606</v>
      </c>
    </row>
    <row r="22">
      <c r="A22" t="n">
        <v>5</v>
      </c>
      <c r="B22" t="inlineStr">
        <is>
          <t>RRP_KMEANS</t>
        </is>
      </c>
      <c r="C22" t="inlineStr">
        <is>
          <t>KMeans</t>
        </is>
      </c>
      <c r="D22" t="n">
        <v>400</v>
      </c>
      <c r="E22" t="n">
        <v>1320</v>
      </c>
      <c r="F22" s="3" t="n">
        <v>90.90096992222628</v>
      </c>
      <c r="G22" s="3" t="n">
        <v>503.5366402717871</v>
      </c>
      <c r="H22" s="3" t="n">
        <v>0.2545377999995253</v>
      </c>
      <c r="I22" t="n">
        <v>22</v>
      </c>
      <c r="J22" t="n">
        <v>176</v>
      </c>
      <c r="K22" t="n">
        <v>1144</v>
      </c>
      <c r="L22" s="4" t="n">
        <v>0.1333333333333333</v>
      </c>
      <c r="M22" s="3" t="n">
        <v>0.09002734343063575</v>
      </c>
      <c r="N22" s="3" t="n">
        <v>-0.1479106284549721</v>
      </c>
      <c r="O22" s="3" t="n">
        <v>4.131862269192104</v>
      </c>
      <c r="P22" s="4" t="n">
        <v>0.6363636363636364</v>
      </c>
      <c r="Q22" t="n">
        <v>4</v>
      </c>
      <c r="R22" t="n">
        <v>7</v>
      </c>
      <c r="S22" t="n">
        <v>3</v>
      </c>
      <c r="T22" t="n">
        <v>8</v>
      </c>
      <c r="U22" t="n">
        <v>32</v>
      </c>
      <c r="V22" t="n">
        <v>56</v>
      </c>
      <c r="W22" t="n">
        <v>24</v>
      </c>
      <c r="X22" t="n">
        <v>64</v>
      </c>
      <c r="Y22" t="inlineStr">
        <is>
          <t>P1:4, P2:7, P3:3, P0:8</t>
        </is>
      </c>
      <c r="Z22" t="n">
        <v/>
      </c>
    </row>
    <row r="23">
      <c r="A23" t="n">
        <v>5</v>
      </c>
      <c r="B23" t="inlineStr">
        <is>
          <t>RRP_KMEANS_VNS</t>
        </is>
      </c>
      <c r="C23" t="inlineStr">
        <is>
          <t>KMeans_VNS</t>
        </is>
      </c>
      <c r="D23" t="n">
        <v>400</v>
      </c>
      <c r="E23" t="n">
        <v>1152</v>
      </c>
      <c r="F23" s="3" t="n">
        <v>198.9234525275697</v>
      </c>
      <c r="G23" s="3" t="n">
        <v>1007.618268230957</v>
      </c>
      <c r="H23" s="3" t="n">
        <v>8.270067899999958</v>
      </c>
      <c r="I23" t="n">
        <v>25</v>
      </c>
      <c r="J23" t="n">
        <v>200</v>
      </c>
      <c r="K23" t="n">
        <v>952</v>
      </c>
      <c r="L23" s="4" t="n">
        <v>0.1736111111111111</v>
      </c>
      <c r="M23" s="3" t="n">
        <v>0.06123797794422221</v>
      </c>
      <c r="N23" s="3" t="n">
        <v>0.4680147216709507</v>
      </c>
      <c r="O23" s="3" t="n">
        <v>7.956938101102788</v>
      </c>
      <c r="P23" s="4" t="n">
        <v>1</v>
      </c>
      <c r="Q23" t="n">
        <v>13</v>
      </c>
      <c r="R23" t="n">
        <v>11</v>
      </c>
      <c r="S23" t="n">
        <v>1</v>
      </c>
      <c r="T23" t="n">
        <v>0</v>
      </c>
      <c r="U23" t="n">
        <v>104</v>
      </c>
      <c r="V23" t="n">
        <v>88</v>
      </c>
      <c r="W23" t="n">
        <v>8</v>
      </c>
      <c r="X23" t="n">
        <v>0</v>
      </c>
      <c r="Y23" t="inlineStr">
        <is>
          <t>P1:13, P2:11, P3:1, P0:0</t>
        </is>
      </c>
      <c r="Z23" t="n">
        <v/>
      </c>
    </row>
    <row r="24">
      <c r="A24" t="n">
        <v>5</v>
      </c>
      <c r="B24" t="inlineStr">
        <is>
          <t>RRP_MS_KMEANS_VNS</t>
        </is>
      </c>
      <c r="C24" t="inlineStr">
        <is>
          <t>MS_KMeans_VNS</t>
        </is>
      </c>
      <c r="D24" t="n">
        <v>400</v>
      </c>
      <c r="E24" t="n">
        <v>1160</v>
      </c>
      <c r="F24" s="3" t="n">
        <v>196.932224214116</v>
      </c>
      <c r="G24" s="3" t="n">
        <v>1021.64038293834</v>
      </c>
      <c r="H24" s="3" t="n">
        <v>43.24088539999957</v>
      </c>
      <c r="I24" t="n">
        <v>25</v>
      </c>
      <c r="J24" t="n">
        <v>200</v>
      </c>
      <c r="K24" t="n">
        <v>960</v>
      </c>
      <c r="L24" s="4" t="n">
        <v>0.1724137931034483</v>
      </c>
      <c r="M24" s="3" t="n">
        <v>0.05422062870717061</v>
      </c>
      <c r="N24" s="3" t="n">
        <v>0.4359609702968434</v>
      </c>
      <c r="O24" s="3" t="n">
        <v>7.877288968564642</v>
      </c>
      <c r="P24" s="4" t="n">
        <v>1</v>
      </c>
      <c r="Q24" t="n">
        <v>14</v>
      </c>
      <c r="R24" t="n">
        <v>8</v>
      </c>
      <c r="S24" t="n">
        <v>3</v>
      </c>
      <c r="T24" t="n">
        <v>0</v>
      </c>
      <c r="U24" t="n">
        <v>112</v>
      </c>
      <c r="V24" t="n">
        <v>64</v>
      </c>
      <c r="W24" t="n">
        <v>24</v>
      </c>
      <c r="X24" t="n">
        <v>0</v>
      </c>
      <c r="Y24" t="inlineStr">
        <is>
          <t>P1:14, P2:8, P3:3, P0:0</t>
        </is>
      </c>
      <c r="Z24" t="n">
        <v/>
      </c>
    </row>
    <row r="25">
      <c r="A25" t="n">
        <v>5</v>
      </c>
      <c r="B25" t="inlineStr">
        <is>
          <t>RRP_GA</t>
        </is>
      </c>
      <c r="C25" t="inlineStr">
        <is>
          <t>GA</t>
        </is>
      </c>
      <c r="D25" t="n">
        <v>400</v>
      </c>
      <c r="E25" t="n">
        <v>1144</v>
      </c>
      <c r="F25" s="3" t="n">
        <v>178.9258115920208</v>
      </c>
      <c r="G25" s="3" t="n">
        <v>897.5989076098939</v>
      </c>
      <c r="H25" s="3" t="n">
        <v>19.47093850000056</v>
      </c>
      <c r="I25" t="n">
        <v>26</v>
      </c>
      <c r="J25" t="n">
        <v>208</v>
      </c>
      <c r="K25" t="n">
        <v>936</v>
      </c>
      <c r="L25" s="4" t="n">
        <v>0.1818181818181818</v>
      </c>
      <c r="M25" s="3" t="n">
        <v>0.05706800613787656</v>
      </c>
      <c r="N25" s="3" t="n">
        <v>0.2803986518008114</v>
      </c>
      <c r="O25" s="3" t="n">
        <v>6.881761984308491</v>
      </c>
      <c r="P25" s="4" t="n">
        <v>0.8846153846153846</v>
      </c>
      <c r="Q25" t="n">
        <v>14</v>
      </c>
      <c r="R25" t="n">
        <v>4</v>
      </c>
      <c r="S25" t="n">
        <v>5</v>
      </c>
      <c r="T25" t="n">
        <v>3</v>
      </c>
      <c r="U25" t="n">
        <v>112</v>
      </c>
      <c r="V25" t="n">
        <v>32</v>
      </c>
      <c r="W25" t="n">
        <v>40</v>
      </c>
      <c r="X25" t="n">
        <v>24</v>
      </c>
      <c r="Y25" t="inlineStr">
        <is>
          <t>P1:14, P2:4, P3:5, P0:3</t>
        </is>
      </c>
      <c r="Z25" t="n">
        <v/>
      </c>
    </row>
    <row r="26">
      <c r="A26" t="n">
        <v>5</v>
      </c>
      <c r="B26" t="inlineStr">
        <is>
          <t>RRP_COLUMN_GENERATION</t>
        </is>
      </c>
      <c r="C26" t="inlineStr">
        <is>
          <t>ColumnGeneration</t>
        </is>
      </c>
      <c r="D26" t="n">
        <v>400</v>
      </c>
      <c r="E26" t="n">
        <v>1040</v>
      </c>
      <c r="F26" s="3" t="n">
        <v>225.9413279609456</v>
      </c>
      <c r="G26" s="3" t="n">
        <v>1095.707107863911</v>
      </c>
      <c r="H26" s="3" t="n">
        <v>8.587320800000271</v>
      </c>
      <c r="I26" t="n">
        <v>30</v>
      </c>
      <c r="J26" t="n">
        <v>240</v>
      </c>
      <c r="K26" t="n">
        <v>800</v>
      </c>
      <c r="L26" s="4" t="n">
        <v>0.2307692307692308</v>
      </c>
      <c r="M26" s="3" t="n">
        <v>0.03911469270294473</v>
      </c>
      <c r="N26" s="3" t="n">
        <v>0.4521699559634028</v>
      </c>
      <c r="O26" s="3" t="n">
        <v>7.531377598698186</v>
      </c>
      <c r="P26" s="4" t="n">
        <v>1</v>
      </c>
      <c r="Q26" t="n">
        <v>13</v>
      </c>
      <c r="R26" t="n">
        <v>15</v>
      </c>
      <c r="S26" t="n">
        <v>2</v>
      </c>
      <c r="T26" t="n">
        <v>0</v>
      </c>
      <c r="U26" t="n">
        <v>104</v>
      </c>
      <c r="V26" t="n">
        <v>120</v>
      </c>
      <c r="W26" t="n">
        <v>16</v>
      </c>
      <c r="X26" t="n">
        <v>0</v>
      </c>
      <c r="Y26" t="inlineStr">
        <is>
          <t>P1:13, P2:15, P3:2, P0:0</t>
        </is>
      </c>
      <c r="Z26" t="n">
        <v>701</v>
      </c>
    </row>
    <row r="27">
      <c r="A27" t="n">
        <v>6</v>
      </c>
      <c r="B27" t="inlineStr">
        <is>
          <t>RRP_KMEANS</t>
        </is>
      </c>
      <c r="C27" t="inlineStr">
        <is>
          <t>KMeans</t>
        </is>
      </c>
      <c r="D27" t="n">
        <v>400</v>
      </c>
      <c r="E27" t="n">
        <v>1544</v>
      </c>
      <c r="F27" s="3" t="n">
        <v>98.92540610867138</v>
      </c>
      <c r="G27" s="3" t="n">
        <v>602.4620463804586</v>
      </c>
      <c r="H27" s="3" t="n">
        <v>0.2495152000001326</v>
      </c>
      <c r="I27" t="n">
        <v>18</v>
      </c>
      <c r="J27" t="n">
        <v>144</v>
      </c>
      <c r="K27" t="n">
        <v>1400</v>
      </c>
      <c r="L27" s="4" t="n">
        <v>0.09326424870466321</v>
      </c>
      <c r="M27" s="3" t="n">
        <v>0.08288210147623441</v>
      </c>
      <c r="N27" s="3" t="n">
        <v>0.118952748801087</v>
      </c>
      <c r="O27" s="3" t="n">
        <v>5.495855894926188</v>
      </c>
      <c r="P27" s="4" t="n">
        <v>0.7777777777777778</v>
      </c>
      <c r="Q27" t="n">
        <v>6</v>
      </c>
      <c r="R27" t="n">
        <v>5</v>
      </c>
      <c r="S27" t="n">
        <v>3</v>
      </c>
      <c r="T27" t="n">
        <v>4</v>
      </c>
      <c r="U27" t="n">
        <v>48</v>
      </c>
      <c r="V27" t="n">
        <v>40</v>
      </c>
      <c r="W27" t="n">
        <v>24</v>
      </c>
      <c r="X27" t="n">
        <v>32</v>
      </c>
      <c r="Y27" t="inlineStr">
        <is>
          <t>P1:6, P2:5, P3:3, P0:4</t>
        </is>
      </c>
      <c r="Z27" t="n">
        <v/>
      </c>
    </row>
    <row r="28">
      <c r="A28" t="n">
        <v>6</v>
      </c>
      <c r="B28" t="inlineStr">
        <is>
          <t>RRP_KMEANS_VNS</t>
        </is>
      </c>
      <c r="C28" t="inlineStr">
        <is>
          <t>KMeans_VNS</t>
        </is>
      </c>
      <c r="D28" t="n">
        <v>400</v>
      </c>
      <c r="E28" t="n">
        <v>1352</v>
      </c>
      <c r="F28" s="3" t="n">
        <v>215.9111220336033</v>
      </c>
      <c r="G28" s="3" t="n">
        <v>1223.52939026456</v>
      </c>
      <c r="H28" s="3" t="n">
        <v>11.36795419999999</v>
      </c>
      <c r="I28" t="n">
        <v>26</v>
      </c>
      <c r="J28" t="n">
        <v>208</v>
      </c>
      <c r="K28" t="n">
        <v>1144</v>
      </c>
      <c r="L28" s="4" t="n">
        <v>0.1538461538461539</v>
      </c>
      <c r="M28" s="3" t="n">
        <v>0.06836766645896618</v>
      </c>
      <c r="N28" s="3" t="n">
        <v>0.6224954096791868</v>
      </c>
      <c r="O28" s="3" t="n">
        <v>8.304273924369358</v>
      </c>
      <c r="P28" s="4" t="n">
        <v>1</v>
      </c>
      <c r="Q28" t="n">
        <v>15</v>
      </c>
      <c r="R28" t="n">
        <v>11</v>
      </c>
      <c r="S28" t="n">
        <v>0</v>
      </c>
      <c r="T28" t="n">
        <v>0</v>
      </c>
      <c r="U28" t="n">
        <v>120</v>
      </c>
      <c r="V28" t="n">
        <v>88</v>
      </c>
      <c r="W28" t="n">
        <v>0</v>
      </c>
      <c r="X28" t="n">
        <v>0</v>
      </c>
      <c r="Y28" t="inlineStr">
        <is>
          <t>P1:15, P2:11, P3:0, P0:0</t>
        </is>
      </c>
      <c r="Z28" t="n">
        <v/>
      </c>
    </row>
    <row r="29">
      <c r="A29" t="n">
        <v>6</v>
      </c>
      <c r="B29" t="inlineStr">
        <is>
          <t>RRP_MS_KMEANS_VNS</t>
        </is>
      </c>
      <c r="C29" t="inlineStr">
        <is>
          <t>MS_KMeans_VNS</t>
        </is>
      </c>
      <c r="D29" t="n">
        <v>400</v>
      </c>
      <c r="E29" t="n">
        <v>1360</v>
      </c>
      <c r="F29" s="3" t="n">
        <v>219.9172629740061</v>
      </c>
      <c r="G29" s="3" t="n">
        <v>1241.557645912346</v>
      </c>
      <c r="H29" s="3" t="n">
        <v>56.42754829999922</v>
      </c>
      <c r="I29" t="n">
        <v>26</v>
      </c>
      <c r="J29" t="n">
        <v>208</v>
      </c>
      <c r="K29" t="n">
        <v>1152</v>
      </c>
      <c r="L29" s="4" t="n">
        <v>0.1529411764705882</v>
      </c>
      <c r="M29" s="3" t="n">
        <v>0.0636438661491662</v>
      </c>
      <c r="N29" s="3" t="n">
        <v>0.616702450709503</v>
      </c>
      <c r="O29" s="3" t="n">
        <v>8.458356268231004</v>
      </c>
      <c r="P29" s="4" t="n">
        <v>1</v>
      </c>
      <c r="Q29" t="n">
        <v>16</v>
      </c>
      <c r="R29" t="n">
        <v>10</v>
      </c>
      <c r="S29" t="n">
        <v>0</v>
      </c>
      <c r="T29" t="n">
        <v>0</v>
      </c>
      <c r="U29" t="n">
        <v>128</v>
      </c>
      <c r="V29" t="n">
        <v>80</v>
      </c>
      <c r="W29" t="n">
        <v>0</v>
      </c>
      <c r="X29" t="n">
        <v>0</v>
      </c>
      <c r="Y29" t="inlineStr">
        <is>
          <t>P1:16, P2:10, P3:0, P0:0</t>
        </is>
      </c>
      <c r="Z29" t="n">
        <v/>
      </c>
    </row>
    <row r="30">
      <c r="A30" t="n">
        <v>6</v>
      </c>
      <c r="B30" t="inlineStr">
        <is>
          <t>RRP_GA</t>
        </is>
      </c>
      <c r="C30" t="inlineStr">
        <is>
          <t>GA</t>
        </is>
      </c>
      <c r="D30" t="n">
        <v>400</v>
      </c>
      <c r="E30" t="n">
        <v>1336</v>
      </c>
      <c r="F30" s="3" t="n">
        <v>172.9348667372537</v>
      </c>
      <c r="G30" s="3" t="n">
        <v>1070.533774347148</v>
      </c>
      <c r="H30" s="3" t="n">
        <v>21.91142479999962</v>
      </c>
      <c r="I30" t="n">
        <v>26</v>
      </c>
      <c r="J30" t="n">
        <v>208</v>
      </c>
      <c r="K30" t="n">
        <v>1128</v>
      </c>
      <c r="L30" s="4" t="n">
        <v>0.155688622754491</v>
      </c>
      <c r="M30" s="3" t="n">
        <v>0.05010250980482692</v>
      </c>
      <c r="N30" s="3" t="n">
        <v>0.2945542285197429</v>
      </c>
      <c r="O30" s="3" t="n">
        <v>6.651341028355912</v>
      </c>
      <c r="P30" s="4" t="n">
        <v>0.8076923076923077</v>
      </c>
      <c r="Q30" t="n">
        <v>14</v>
      </c>
      <c r="R30" t="n">
        <v>4</v>
      </c>
      <c r="S30" t="n">
        <v>3</v>
      </c>
      <c r="T30" t="n">
        <v>5</v>
      </c>
      <c r="U30" t="n">
        <v>112</v>
      </c>
      <c r="V30" t="n">
        <v>32</v>
      </c>
      <c r="W30" t="n">
        <v>24</v>
      </c>
      <c r="X30" t="n">
        <v>40</v>
      </c>
      <c r="Y30" t="inlineStr">
        <is>
          <t>P1:14, P2:4, P3:3, P0:5</t>
        </is>
      </c>
      <c r="Z30" t="n">
        <v/>
      </c>
    </row>
    <row r="31">
      <c r="A31" t="n">
        <v>6</v>
      </c>
      <c r="B31" t="inlineStr">
        <is>
          <t>RRP_COLUMN_GENERATION</t>
        </is>
      </c>
      <c r="C31" t="inlineStr">
        <is>
          <t>ColumnGeneration</t>
        </is>
      </c>
      <c r="D31" t="n">
        <v>400</v>
      </c>
      <c r="E31" t="n">
        <v>1200</v>
      </c>
      <c r="F31" s="3" t="n">
        <v>226.9397886035728</v>
      </c>
      <c r="G31" s="3" t="n">
        <v>1322.646896467484</v>
      </c>
      <c r="H31" s="3" t="n">
        <v>8.875053499999922</v>
      </c>
      <c r="I31" t="n">
        <v>30</v>
      </c>
      <c r="J31" t="n">
        <v>240</v>
      </c>
      <c r="K31" t="n">
        <v>960</v>
      </c>
      <c r="L31" s="4" t="n">
        <v>0.2</v>
      </c>
      <c r="M31" s="3" t="n">
        <v>0.04014093095146787</v>
      </c>
      <c r="N31" s="3" t="n">
        <v>0.4632581274580275</v>
      </c>
      <c r="O31" s="3" t="n">
        <v>7.564659620119093</v>
      </c>
      <c r="P31" s="4" t="n">
        <v>1</v>
      </c>
      <c r="Q31" t="n">
        <v>14</v>
      </c>
      <c r="R31" t="n">
        <v>13</v>
      </c>
      <c r="S31" t="n">
        <v>3</v>
      </c>
      <c r="T31" t="n">
        <v>0</v>
      </c>
      <c r="U31" t="n">
        <v>112</v>
      </c>
      <c r="V31" t="n">
        <v>104</v>
      </c>
      <c r="W31" t="n">
        <v>24</v>
      </c>
      <c r="X31" t="n">
        <v>0</v>
      </c>
      <c r="Y31" t="inlineStr">
        <is>
          <t>P1:14, P2:13, P3:3, P0:0</t>
        </is>
      </c>
      <c r="Z31" t="n">
        <v>670</v>
      </c>
    </row>
    <row r="32">
      <c r="A32" t="n">
        <v>7</v>
      </c>
      <c r="B32" t="inlineStr">
        <is>
          <t>RRP_KMEANS</t>
        </is>
      </c>
      <c r="C32" t="inlineStr">
        <is>
          <t>KMeans</t>
        </is>
      </c>
      <c r="D32" t="n">
        <v>400</v>
      </c>
      <c r="E32" t="n">
        <v>1800</v>
      </c>
      <c r="F32" s="3" t="n">
        <v>77.91821464425695</v>
      </c>
      <c r="G32" s="3" t="n">
        <v>680.3802610247155</v>
      </c>
      <c r="H32" s="3" t="n">
        <v>0.2004141000006712</v>
      </c>
      <c r="I32" t="n">
        <v>17</v>
      </c>
      <c r="J32" t="n">
        <v>136</v>
      </c>
      <c r="K32" t="n">
        <v>1664</v>
      </c>
      <c r="L32" s="4" t="n">
        <v>0.07555555555555556</v>
      </c>
      <c r="M32" s="3" t="n">
        <v>0.0962180655800587</v>
      </c>
      <c r="N32" s="3" t="n">
        <v>-0.02285381996379478</v>
      </c>
      <c r="O32" s="3" t="n">
        <v>4.583424390838644</v>
      </c>
      <c r="P32" s="4" t="n">
        <v>0.8235294117647058</v>
      </c>
      <c r="Q32" t="n">
        <v>3</v>
      </c>
      <c r="R32" t="n">
        <v>5</v>
      </c>
      <c r="S32" t="n">
        <v>6</v>
      </c>
      <c r="T32" t="n">
        <v>3</v>
      </c>
      <c r="U32" t="n">
        <v>24</v>
      </c>
      <c r="V32" t="n">
        <v>40</v>
      </c>
      <c r="W32" t="n">
        <v>48</v>
      </c>
      <c r="X32" t="n">
        <v>24</v>
      </c>
      <c r="Y32" t="inlineStr">
        <is>
          <t>P1:3, P2:5, P3:6, P0:3</t>
        </is>
      </c>
      <c r="Z32" t="n">
        <v/>
      </c>
    </row>
    <row r="33">
      <c r="A33" t="n">
        <v>7</v>
      </c>
      <c r="B33" t="inlineStr">
        <is>
          <t>RRP_KMEANS_VNS</t>
        </is>
      </c>
      <c r="C33" t="inlineStr">
        <is>
          <t>KMeans_VNS</t>
        </is>
      </c>
      <c r="D33" t="n">
        <v>400</v>
      </c>
      <c r="E33" t="n">
        <v>1544</v>
      </c>
      <c r="F33" s="3" t="n">
        <v>215.9197200791413</v>
      </c>
      <c r="G33" s="3" t="n">
        <v>1439.449110343702</v>
      </c>
      <c r="H33" s="3" t="n">
        <v>9.927711100000124</v>
      </c>
      <c r="I33" t="n">
        <v>26</v>
      </c>
      <c r="J33" t="n">
        <v>208</v>
      </c>
      <c r="K33" t="n">
        <v>1336</v>
      </c>
      <c r="L33" s="4" t="n">
        <v>0.1347150259067358</v>
      </c>
      <c r="M33" s="3" t="n">
        <v>0.06175378527596639</v>
      </c>
      <c r="N33" s="3" t="n">
        <v>0.5974454927679805</v>
      </c>
      <c r="O33" s="3" t="n">
        <v>8.30460461842851</v>
      </c>
      <c r="P33" s="4" t="n">
        <v>1</v>
      </c>
      <c r="Q33" t="n">
        <v>15</v>
      </c>
      <c r="R33" t="n">
        <v>11</v>
      </c>
      <c r="S33" t="n">
        <v>0</v>
      </c>
      <c r="T33" t="n">
        <v>0</v>
      </c>
      <c r="U33" t="n">
        <v>120</v>
      </c>
      <c r="V33" t="n">
        <v>88</v>
      </c>
      <c r="W33" t="n">
        <v>0</v>
      </c>
      <c r="X33" t="n">
        <v>0</v>
      </c>
      <c r="Y33" t="inlineStr">
        <is>
          <t>P1:15, P2:11, P3:0, P0:0</t>
        </is>
      </c>
      <c r="Z33" t="n">
        <v/>
      </c>
    </row>
    <row r="34">
      <c r="A34" t="n">
        <v>7</v>
      </c>
      <c r="B34" t="inlineStr">
        <is>
          <t>RRP_MS_KMEANS_VNS</t>
        </is>
      </c>
      <c r="C34" t="inlineStr">
        <is>
          <t>MS_KMeans_VNS</t>
        </is>
      </c>
      <c r="D34" t="n">
        <v>400</v>
      </c>
      <c r="E34" t="n">
        <v>1552</v>
      </c>
      <c r="F34" s="3" t="n">
        <v>227.9090930342045</v>
      </c>
      <c r="G34" s="3" t="n">
        <v>1469.46673894655</v>
      </c>
      <c r="H34" s="3" t="n">
        <v>58.49140380000063</v>
      </c>
      <c r="I34" t="n">
        <v>26</v>
      </c>
      <c r="J34" t="n">
        <v>208</v>
      </c>
      <c r="K34" t="n">
        <v>1344</v>
      </c>
      <c r="L34" s="4" t="n">
        <v>0.134020618556701</v>
      </c>
      <c r="M34" s="3" t="n">
        <v>0.06992843522735567</v>
      </c>
      <c r="N34" s="3" t="n">
        <v>0.6034947888510621</v>
      </c>
      <c r="O34" s="3" t="n">
        <v>8.765734347469403</v>
      </c>
      <c r="P34" s="4" t="n">
        <v>1</v>
      </c>
      <c r="Q34" t="n">
        <v>18</v>
      </c>
      <c r="R34" t="n">
        <v>8</v>
      </c>
      <c r="S34" t="n">
        <v>0</v>
      </c>
      <c r="T34" t="n">
        <v>0</v>
      </c>
      <c r="U34" t="n">
        <v>144</v>
      </c>
      <c r="V34" t="n">
        <v>64</v>
      </c>
      <c r="W34" t="n">
        <v>0</v>
      </c>
      <c r="X34" t="n">
        <v>0</v>
      </c>
      <c r="Y34" t="inlineStr">
        <is>
          <t>P1:18, P2:8, P3:0, P0:0</t>
        </is>
      </c>
      <c r="Z34" t="n">
        <v/>
      </c>
    </row>
    <row r="35">
      <c r="A35" t="n">
        <v>7</v>
      </c>
      <c r="B35" t="inlineStr">
        <is>
          <t>RRP_GA</t>
        </is>
      </c>
      <c r="C35" t="inlineStr">
        <is>
          <t>GA</t>
        </is>
      </c>
      <c r="D35" t="n">
        <v>400</v>
      </c>
      <c r="E35" t="n">
        <v>1528</v>
      </c>
      <c r="F35" s="3" t="n">
        <v>184.9335051252104</v>
      </c>
      <c r="G35" s="3" t="n">
        <v>1255.467279472358</v>
      </c>
      <c r="H35" s="3" t="n">
        <v>27.02176770000005</v>
      </c>
      <c r="I35" t="n">
        <v>27</v>
      </c>
      <c r="J35" t="n">
        <v>216</v>
      </c>
      <c r="K35" t="n">
        <v>1312</v>
      </c>
      <c r="L35" s="4" t="n">
        <v>0.1413612565445026</v>
      </c>
      <c r="M35" s="3" t="n">
        <v>0.04925546280707839</v>
      </c>
      <c r="N35" s="3" t="n">
        <v>0.3077044546504069</v>
      </c>
      <c r="O35" s="3" t="n">
        <v>6.849389078711497</v>
      </c>
      <c r="P35" s="4" t="n">
        <v>0.8888888888888888</v>
      </c>
      <c r="Q35" t="n">
        <v>14</v>
      </c>
      <c r="R35" t="n">
        <v>5</v>
      </c>
      <c r="S35" t="n">
        <v>5</v>
      </c>
      <c r="T35" t="n">
        <v>3</v>
      </c>
      <c r="U35" t="n">
        <v>112</v>
      </c>
      <c r="V35" t="n">
        <v>40</v>
      </c>
      <c r="W35" t="n">
        <v>40</v>
      </c>
      <c r="X35" t="n">
        <v>24</v>
      </c>
      <c r="Y35" t="inlineStr">
        <is>
          <t>P1:14, P2:5, P3:5, P0:3</t>
        </is>
      </c>
      <c r="Z35" t="n">
        <v/>
      </c>
    </row>
    <row r="36">
      <c r="A36" t="n">
        <v>7</v>
      </c>
      <c r="B36" t="inlineStr">
        <is>
          <t>RRP_COLUMN_GENERATION</t>
        </is>
      </c>
      <c r="C36" t="inlineStr">
        <is>
          <t>ColumnGeneration</t>
        </is>
      </c>
      <c r="D36" t="n">
        <v>400</v>
      </c>
      <c r="E36" t="n">
        <v>1360</v>
      </c>
      <c r="F36" s="3" t="n">
        <v>232.9437785835436</v>
      </c>
      <c r="G36" s="3" t="n">
        <v>1555.590675051027</v>
      </c>
      <c r="H36" s="3" t="n">
        <v>11.42931500000032</v>
      </c>
      <c r="I36" t="n">
        <v>30</v>
      </c>
      <c r="J36" t="n">
        <v>240</v>
      </c>
      <c r="K36" t="n">
        <v>1120</v>
      </c>
      <c r="L36" s="4" t="n">
        <v>0.1764705882352941</v>
      </c>
      <c r="M36" s="3" t="n">
        <v>0.03748094430428418</v>
      </c>
      <c r="N36" s="3" t="n">
        <v>0.4869810842787633</v>
      </c>
      <c r="O36" s="3" t="n">
        <v>7.764792619451453</v>
      </c>
      <c r="P36" s="4" t="n">
        <v>1</v>
      </c>
      <c r="Q36" t="n">
        <v>14</v>
      </c>
      <c r="R36" t="n">
        <v>15</v>
      </c>
      <c r="S36" t="n">
        <v>1</v>
      </c>
      <c r="T36" t="n">
        <v>0</v>
      </c>
      <c r="U36" t="n">
        <v>112</v>
      </c>
      <c r="V36" t="n">
        <v>120</v>
      </c>
      <c r="W36" t="n">
        <v>8</v>
      </c>
      <c r="X36" t="n">
        <v>0</v>
      </c>
      <c r="Y36" t="inlineStr">
        <is>
          <t>P1:14, P2:15, P3:1, P0:0</t>
        </is>
      </c>
      <c r="Z36" t="n">
        <v>678</v>
      </c>
    </row>
    <row r="37">
      <c r="A37" t="n">
        <v>8</v>
      </c>
      <c r="B37" t="inlineStr">
        <is>
          <t>RRP_KMEANS</t>
        </is>
      </c>
      <c r="C37" t="inlineStr">
        <is>
          <t>KMeans</t>
        </is>
      </c>
      <c r="D37" t="n">
        <v>400</v>
      </c>
      <c r="E37" t="n">
        <v>2064</v>
      </c>
      <c r="F37" s="3" t="n">
        <v>87.91507097461432</v>
      </c>
      <c r="G37" s="3" t="n">
        <v>768.2953319993298</v>
      </c>
      <c r="H37" s="3" t="n">
        <v>0.3628621000007115</v>
      </c>
      <c r="I37" t="n">
        <v>17</v>
      </c>
      <c r="J37" t="n">
        <v>136</v>
      </c>
      <c r="K37" t="n">
        <v>1928</v>
      </c>
      <c r="L37" s="4" t="n">
        <v>0.06589147286821706</v>
      </c>
      <c r="M37" s="3" t="n">
        <v>0.09991650045375065</v>
      </c>
      <c r="N37" s="3" t="n">
        <v>0.08413854885263285</v>
      </c>
      <c r="O37" s="3" t="n">
        <v>5.171474763212608</v>
      </c>
      <c r="P37" s="4" t="n">
        <v>0.8235294117647058</v>
      </c>
      <c r="Q37" t="n">
        <v>4</v>
      </c>
      <c r="R37" t="n">
        <v>6</v>
      </c>
      <c r="S37" t="n">
        <v>4</v>
      </c>
      <c r="T37" t="n">
        <v>3</v>
      </c>
      <c r="U37" t="n">
        <v>32</v>
      </c>
      <c r="V37" t="n">
        <v>48</v>
      </c>
      <c r="W37" t="n">
        <v>32</v>
      </c>
      <c r="X37" t="n">
        <v>24</v>
      </c>
      <c r="Y37" t="inlineStr">
        <is>
          <t>P1:4, P2:6, P3:4, P0:3</t>
        </is>
      </c>
      <c r="Z37" t="n">
        <v/>
      </c>
    </row>
    <row r="38">
      <c r="A38" t="n">
        <v>8</v>
      </c>
      <c r="B38" t="inlineStr">
        <is>
          <t>RRP_KMEANS_VNS</t>
        </is>
      </c>
      <c r="C38" t="inlineStr">
        <is>
          <t>KMeans_VNS</t>
        </is>
      </c>
      <c r="D38" t="n">
        <v>400</v>
      </c>
      <c r="E38" t="n">
        <v>1736</v>
      </c>
      <c r="F38" s="3" t="n">
        <v>219.9199993405219</v>
      </c>
      <c r="G38" s="3" t="n">
        <v>1659.369109684224</v>
      </c>
      <c r="H38" s="3" t="n">
        <v>14.86362090000057</v>
      </c>
      <c r="I38" t="n">
        <v>26</v>
      </c>
      <c r="J38" t="n">
        <v>208</v>
      </c>
      <c r="K38" t="n">
        <v>1528</v>
      </c>
      <c r="L38" s="4" t="n">
        <v>0.119815668202765</v>
      </c>
      <c r="M38" s="3" t="n">
        <v>0.0615389688292891</v>
      </c>
      <c r="N38" s="3" t="n">
        <v>0.5798167007484382</v>
      </c>
      <c r="O38" s="3" t="n">
        <v>8.458461513096998</v>
      </c>
      <c r="P38" s="4" t="n">
        <v>1</v>
      </c>
      <c r="Q38" t="n">
        <v>16</v>
      </c>
      <c r="R38" t="n">
        <v>10</v>
      </c>
      <c r="S38" t="n">
        <v>0</v>
      </c>
      <c r="T38" t="n">
        <v>0</v>
      </c>
      <c r="U38" t="n">
        <v>128</v>
      </c>
      <c r="V38" t="n">
        <v>80</v>
      </c>
      <c r="W38" t="n">
        <v>0</v>
      </c>
      <c r="X38" t="n">
        <v>0</v>
      </c>
      <c r="Y38" t="inlineStr">
        <is>
          <t>P1:16, P2:10, P3:0, P0:0</t>
        </is>
      </c>
      <c r="Z38" t="n">
        <v/>
      </c>
    </row>
    <row r="39">
      <c r="A39" t="n">
        <v>8</v>
      </c>
      <c r="B39" t="inlineStr">
        <is>
          <t>RRP_MS_KMEANS_VNS</t>
        </is>
      </c>
      <c r="C39" t="inlineStr">
        <is>
          <t>MS_KMeans_VNS</t>
        </is>
      </c>
      <c r="D39" t="n">
        <v>400</v>
      </c>
      <c r="E39" t="n">
        <v>1744</v>
      </c>
      <c r="F39" s="3" t="n">
        <v>219.9201535358333</v>
      </c>
      <c r="G39" s="3" t="n">
        <v>1689.386892482384</v>
      </c>
      <c r="H39" s="3" t="n">
        <v>74.09092419999979</v>
      </c>
      <c r="I39" t="n">
        <v>26</v>
      </c>
      <c r="J39" t="n">
        <v>208</v>
      </c>
      <c r="K39" t="n">
        <v>1536</v>
      </c>
      <c r="L39" s="4" t="n">
        <v>0.1192660550458716</v>
      </c>
      <c r="M39" s="3" t="n">
        <v>0.06142035705134617</v>
      </c>
      <c r="N39" s="3" t="n">
        <v>0.6120398787703805</v>
      </c>
      <c r="O39" s="3" t="n">
        <v>8.458467443685896</v>
      </c>
      <c r="P39" s="4" t="n">
        <v>1</v>
      </c>
      <c r="Q39" t="n">
        <v>16</v>
      </c>
      <c r="R39" t="n">
        <v>10</v>
      </c>
      <c r="S39" t="n">
        <v>0</v>
      </c>
      <c r="T39" t="n">
        <v>0</v>
      </c>
      <c r="U39" t="n">
        <v>128</v>
      </c>
      <c r="V39" t="n">
        <v>80</v>
      </c>
      <c r="W39" t="n">
        <v>0</v>
      </c>
      <c r="X39" t="n">
        <v>0</v>
      </c>
      <c r="Y39" t="inlineStr">
        <is>
          <t>P1:16, P2:10, P3:0, P0:0</t>
        </is>
      </c>
      <c r="Z39" t="n">
        <v/>
      </c>
    </row>
    <row r="40">
      <c r="A40" t="n">
        <v>8</v>
      </c>
      <c r="B40" t="inlineStr">
        <is>
          <t>RRP_GA</t>
        </is>
      </c>
      <c r="C40" t="inlineStr">
        <is>
          <t>GA</t>
        </is>
      </c>
      <c r="D40" t="n">
        <v>400</v>
      </c>
      <c r="E40" t="n">
        <v>1712</v>
      </c>
      <c r="F40" s="3" t="n">
        <v>184.9291355256509</v>
      </c>
      <c r="G40" s="3" t="n">
        <v>1440.396414998009</v>
      </c>
      <c r="H40" s="3" t="n">
        <v>28.00791169999957</v>
      </c>
      <c r="I40" t="n">
        <v>26</v>
      </c>
      <c r="J40" t="n">
        <v>208</v>
      </c>
      <c r="K40" t="n">
        <v>1504</v>
      </c>
      <c r="L40" s="4" t="n">
        <v>0.1214953271028037</v>
      </c>
      <c r="M40" s="3" t="n">
        <v>0.05451113411469752</v>
      </c>
      <c r="N40" s="3" t="n">
        <v>0.3735707644435151</v>
      </c>
      <c r="O40" s="3" t="n">
        <v>7.112659058678881</v>
      </c>
      <c r="P40" s="4" t="n">
        <v>0.9230769230769231</v>
      </c>
      <c r="Q40" t="n">
        <v>14</v>
      </c>
      <c r="R40" t="n">
        <v>5</v>
      </c>
      <c r="S40" t="n">
        <v>5</v>
      </c>
      <c r="T40" t="n">
        <v>2</v>
      </c>
      <c r="U40" t="n">
        <v>112</v>
      </c>
      <c r="V40" t="n">
        <v>40</v>
      </c>
      <c r="W40" t="n">
        <v>40</v>
      </c>
      <c r="X40" t="n">
        <v>16</v>
      </c>
      <c r="Y40" t="inlineStr">
        <is>
          <t>P1:14, P2:5, P3:5, P0:2</t>
        </is>
      </c>
      <c r="Z40" t="n">
        <v/>
      </c>
    </row>
    <row r="41">
      <c r="A41" t="n">
        <v>8</v>
      </c>
      <c r="B41" t="inlineStr">
        <is>
          <t>RRP_COLUMN_GENERATION</t>
        </is>
      </c>
      <c r="C41" t="inlineStr">
        <is>
          <t>ColumnGeneration</t>
        </is>
      </c>
      <c r="D41" t="n">
        <v>400</v>
      </c>
      <c r="E41" t="n">
        <v>1520</v>
      </c>
      <c r="F41" s="3" t="n">
        <v>222.9506905347709</v>
      </c>
      <c r="G41" s="3" t="n">
        <v>1778.541365585798</v>
      </c>
      <c r="H41" s="3" t="n">
        <v>12.49331910000001</v>
      </c>
      <c r="I41" t="n">
        <v>30</v>
      </c>
      <c r="J41" t="n">
        <v>240</v>
      </c>
      <c r="K41" t="n">
        <v>1280</v>
      </c>
      <c r="L41" s="4" t="n">
        <v>0.1578947368421053</v>
      </c>
      <c r="M41" s="3" t="n">
        <v>0.03287297681937464</v>
      </c>
      <c r="N41" s="3" t="n">
        <v>0.4655564458327263</v>
      </c>
      <c r="O41" s="3" t="n">
        <v>7.431689684492365</v>
      </c>
      <c r="P41" s="4" t="n">
        <v>1</v>
      </c>
      <c r="Q41" t="n">
        <v>13</v>
      </c>
      <c r="R41" t="n">
        <v>14</v>
      </c>
      <c r="S41" t="n">
        <v>3</v>
      </c>
      <c r="T41" t="n">
        <v>0</v>
      </c>
      <c r="U41" t="n">
        <v>104</v>
      </c>
      <c r="V41" t="n">
        <v>112</v>
      </c>
      <c r="W41" t="n">
        <v>24</v>
      </c>
      <c r="X41" t="n">
        <v>0</v>
      </c>
      <c r="Y41" t="inlineStr">
        <is>
          <t>P1:13, P2:14, P3:3, P0:0</t>
        </is>
      </c>
      <c r="Z41" t="n">
        <v>696</v>
      </c>
    </row>
    <row r="42">
      <c r="A42" t="n">
        <v>9</v>
      </c>
      <c r="B42" t="inlineStr">
        <is>
          <t>RRP_KMEANS</t>
        </is>
      </c>
      <c r="C42" t="inlineStr">
        <is>
          <t>KMeans</t>
        </is>
      </c>
      <c r="D42" t="n">
        <v>400</v>
      </c>
      <c r="E42" t="n">
        <v>2328</v>
      </c>
      <c r="F42" s="3" t="n">
        <v>75.89489519099486</v>
      </c>
      <c r="G42" s="3" t="n">
        <v>844.1902271903247</v>
      </c>
      <c r="H42" s="3" t="n">
        <v>0.3282718999998906</v>
      </c>
      <c r="I42" t="n">
        <v>18</v>
      </c>
      <c r="J42" t="n">
        <v>144</v>
      </c>
      <c r="K42" t="n">
        <v>2184</v>
      </c>
      <c r="L42" s="4" t="n">
        <v>0.06185567010309279</v>
      </c>
      <c r="M42" s="3" t="n">
        <v>0.1167831211168155</v>
      </c>
      <c r="N42" s="3" t="n">
        <v>-0.07963462040487902</v>
      </c>
      <c r="O42" s="3" t="n">
        <v>4.216383066166381</v>
      </c>
      <c r="P42" s="4" t="n">
        <v>0.6666666666666666</v>
      </c>
      <c r="Q42" t="n">
        <v>4</v>
      </c>
      <c r="R42" t="n">
        <v>4</v>
      </c>
      <c r="S42" t="n">
        <v>4</v>
      </c>
      <c r="T42" t="n">
        <v>6</v>
      </c>
      <c r="U42" t="n">
        <v>32</v>
      </c>
      <c r="V42" t="n">
        <v>32</v>
      </c>
      <c r="W42" t="n">
        <v>32</v>
      </c>
      <c r="X42" t="n">
        <v>48</v>
      </c>
      <c r="Y42" t="inlineStr">
        <is>
          <t>P1:4, P2:4, P3:4, P0:6</t>
        </is>
      </c>
      <c r="Z42" t="n">
        <v/>
      </c>
    </row>
    <row r="43">
      <c r="A43" t="n">
        <v>9</v>
      </c>
      <c r="B43" t="inlineStr">
        <is>
          <t>RRP_KMEANS_VNS</t>
        </is>
      </c>
      <c r="C43" t="inlineStr">
        <is>
          <t>KMeans_VNS</t>
        </is>
      </c>
      <c r="D43" t="n">
        <v>400</v>
      </c>
      <c r="E43" t="n">
        <v>1928</v>
      </c>
      <c r="F43" s="3" t="n">
        <v>155.9353536035169</v>
      </c>
      <c r="G43" s="3" t="n">
        <v>1815.30446328774</v>
      </c>
      <c r="H43" s="3" t="n">
        <v>12.3917977000001</v>
      </c>
      <c r="I43" t="n">
        <v>24</v>
      </c>
      <c r="J43" t="n">
        <v>192</v>
      </c>
      <c r="K43" t="n">
        <v>1736</v>
      </c>
      <c r="L43" s="4" t="n">
        <v>0.09958506224066389</v>
      </c>
      <c r="M43" s="3" t="n">
        <v>0.0538719970692469</v>
      </c>
      <c r="N43" s="3" t="n">
        <v>0.2094409387293915</v>
      </c>
      <c r="O43" s="3" t="n">
        <v>6.497306400146537</v>
      </c>
      <c r="P43" s="4" t="n">
        <v>1</v>
      </c>
      <c r="Q43" t="n">
        <v>12</v>
      </c>
      <c r="R43" t="n">
        <v>0</v>
      </c>
      <c r="S43" t="n">
        <v>12</v>
      </c>
      <c r="T43" t="n">
        <v>0</v>
      </c>
      <c r="U43" t="n">
        <v>96</v>
      </c>
      <c r="V43" t="n">
        <v>0</v>
      </c>
      <c r="W43" t="n">
        <v>96</v>
      </c>
      <c r="X43" t="n">
        <v>0</v>
      </c>
      <c r="Y43" t="inlineStr">
        <is>
          <t>P1:12, P2:0, P3:12, P0:0</t>
        </is>
      </c>
      <c r="Z43" t="n">
        <v/>
      </c>
    </row>
    <row r="44">
      <c r="A44" t="n">
        <v>9</v>
      </c>
      <c r="B44" t="inlineStr">
        <is>
          <t>RRP_MS_KMEANS_VNS</t>
        </is>
      </c>
      <c r="C44" t="inlineStr">
        <is>
          <t>MS_KMeans_VNS</t>
        </is>
      </c>
      <c r="D44" t="n">
        <v>400</v>
      </c>
      <c r="E44" t="n">
        <v>1936</v>
      </c>
      <c r="F44" s="3" t="n">
        <v>203.9192833293833</v>
      </c>
      <c r="G44" s="3" t="n">
        <v>1893.306175811767</v>
      </c>
      <c r="H44" s="3" t="n">
        <v>63.68939800000044</v>
      </c>
      <c r="I44" t="n">
        <v>24</v>
      </c>
      <c r="J44" t="n">
        <v>192</v>
      </c>
      <c r="K44" t="n">
        <v>1744</v>
      </c>
      <c r="L44" s="4" t="n">
        <v>0.09917355371900827</v>
      </c>
      <c r="M44" s="3" t="n">
        <v>0.06726389218054186</v>
      </c>
      <c r="N44" s="3" t="n">
        <v>0.4998060639390929</v>
      </c>
      <c r="O44" s="3" t="n">
        <v>8.496636805390972</v>
      </c>
      <c r="P44" s="4" t="n">
        <v>1</v>
      </c>
      <c r="Q44" t="n">
        <v>15</v>
      </c>
      <c r="R44" t="n">
        <v>9</v>
      </c>
      <c r="S44" t="n">
        <v>0</v>
      </c>
      <c r="T44" t="n">
        <v>0</v>
      </c>
      <c r="U44" t="n">
        <v>120</v>
      </c>
      <c r="V44" t="n">
        <v>72</v>
      </c>
      <c r="W44" t="n">
        <v>0</v>
      </c>
      <c r="X44" t="n">
        <v>0</v>
      </c>
      <c r="Y44" t="inlineStr">
        <is>
          <t>P1:15, P2:9, P3:0, P0:0</t>
        </is>
      </c>
      <c r="Z44" t="n">
        <v/>
      </c>
    </row>
    <row r="45">
      <c r="A45" t="n">
        <v>9</v>
      </c>
      <c r="B45" t="inlineStr">
        <is>
          <t>RRP_GA</t>
        </is>
      </c>
      <c r="C45" t="inlineStr">
        <is>
          <t>GA</t>
        </is>
      </c>
      <c r="D45" t="n">
        <v>400</v>
      </c>
      <c r="E45" t="n">
        <v>1904</v>
      </c>
      <c r="F45" s="3" t="n">
        <v>180.9437108812788</v>
      </c>
      <c r="G45" s="3" t="n">
        <v>1621.340125879288</v>
      </c>
      <c r="H45" s="3" t="n">
        <v>33.39811860000009</v>
      </c>
      <c r="I45" t="n">
        <v>25</v>
      </c>
      <c r="J45" t="n">
        <v>200</v>
      </c>
      <c r="K45" t="n">
        <v>1704</v>
      </c>
      <c r="L45" s="4" t="n">
        <v>0.1050420168067227</v>
      </c>
      <c r="M45" s="3" t="n">
        <v>0.0450312949769195</v>
      </c>
      <c r="N45" s="3" t="n">
        <v>0.409757181285168</v>
      </c>
      <c r="O45" s="3" t="n">
        <v>7.237748435251152</v>
      </c>
      <c r="P45" s="4" t="n">
        <v>1</v>
      </c>
      <c r="Q45" t="n">
        <v>13</v>
      </c>
      <c r="R45" t="n">
        <v>5</v>
      </c>
      <c r="S45" t="n">
        <v>7</v>
      </c>
      <c r="T45" t="n">
        <v>0</v>
      </c>
      <c r="U45" t="n">
        <v>104</v>
      </c>
      <c r="V45" t="n">
        <v>40</v>
      </c>
      <c r="W45" t="n">
        <v>56</v>
      </c>
      <c r="X45" t="n">
        <v>0</v>
      </c>
      <c r="Y45" t="inlineStr">
        <is>
          <t>P1:13, P2:5, P3:7, P0:0</t>
        </is>
      </c>
      <c r="Z45" t="n">
        <v/>
      </c>
    </row>
    <row r="46">
      <c r="A46" t="n">
        <v>9</v>
      </c>
      <c r="B46" t="inlineStr">
        <is>
          <t>RRP_COLUMN_GENERATION</t>
        </is>
      </c>
      <c r="C46" t="inlineStr">
        <is>
          <t>ColumnGeneration</t>
        </is>
      </c>
      <c r="D46" t="n">
        <v>400</v>
      </c>
      <c r="E46" t="n">
        <v>1680</v>
      </c>
      <c r="F46" s="3" t="n">
        <v>218.9548735482554</v>
      </c>
      <c r="G46" s="3" t="n">
        <v>1997.496239134053</v>
      </c>
      <c r="H46" s="3" t="n">
        <v>8.581664299999829</v>
      </c>
      <c r="I46" t="n">
        <v>30</v>
      </c>
      <c r="J46" t="n">
        <v>240</v>
      </c>
      <c r="K46" t="n">
        <v>1440</v>
      </c>
      <c r="L46" s="4" t="n">
        <v>0.1428571428571428</v>
      </c>
      <c r="M46" s="3" t="n">
        <v>0.03008430116303591</v>
      </c>
      <c r="N46" s="3" t="n">
        <v>0.3972256579869914</v>
      </c>
      <c r="O46" s="3" t="n">
        <v>7.298495784941848</v>
      </c>
      <c r="P46" s="4" t="n">
        <v>1</v>
      </c>
      <c r="Q46" t="n">
        <v>12</v>
      </c>
      <c r="R46" t="n">
        <v>15</v>
      </c>
      <c r="S46" t="n">
        <v>3</v>
      </c>
      <c r="T46" t="n">
        <v>0</v>
      </c>
      <c r="U46" t="n">
        <v>96</v>
      </c>
      <c r="V46" t="n">
        <v>120</v>
      </c>
      <c r="W46" t="n">
        <v>24</v>
      </c>
      <c r="X46" t="n">
        <v>0</v>
      </c>
      <c r="Y46" t="inlineStr">
        <is>
          <t>P1:12, P2:15, P3:3, P0:0</t>
        </is>
      </c>
      <c r="Z46" t="n">
        <v>573</v>
      </c>
    </row>
    <row r="47">
      <c r="A47" t="n">
        <v>10</v>
      </c>
      <c r="B47" t="inlineStr">
        <is>
          <t>RRP_KMEANS</t>
        </is>
      </c>
      <c r="C47" t="inlineStr">
        <is>
          <t>KMeans</t>
        </is>
      </c>
      <c r="D47" t="n">
        <v>400</v>
      </c>
      <c r="E47" t="n">
        <v>2584</v>
      </c>
      <c r="F47" s="3" t="n">
        <v>67.928008134794</v>
      </c>
      <c r="G47" s="3" t="n">
        <v>912.1182353251187</v>
      </c>
      <c r="H47" s="3" t="n">
        <v>0.3489810000000944</v>
      </c>
      <c r="I47" t="n">
        <v>16</v>
      </c>
      <c r="J47" t="n">
        <v>128</v>
      </c>
      <c r="K47" t="n">
        <v>2456</v>
      </c>
      <c r="L47" s="4" t="n">
        <v>0.04953560371517028</v>
      </c>
      <c r="M47" s="3" t="n">
        <v>0.08998983150749888</v>
      </c>
      <c r="N47" s="3" t="n">
        <v>-0.0431467219532634</v>
      </c>
      <c r="O47" s="3" t="n">
        <v>4.245500508424625</v>
      </c>
      <c r="P47" s="4" t="n">
        <v>0.8125</v>
      </c>
      <c r="Q47" t="n">
        <v>2</v>
      </c>
      <c r="R47" t="n">
        <v>5</v>
      </c>
      <c r="S47" t="n">
        <v>6</v>
      </c>
      <c r="T47" t="n">
        <v>3</v>
      </c>
      <c r="U47" t="n">
        <v>16</v>
      </c>
      <c r="V47" t="n">
        <v>40</v>
      </c>
      <c r="W47" t="n">
        <v>48</v>
      </c>
      <c r="X47" t="n">
        <v>24</v>
      </c>
      <c r="Y47" t="inlineStr">
        <is>
          <t>P1:2, P2:5, P3:6, P0:3</t>
        </is>
      </c>
      <c r="Z47" t="n">
        <v/>
      </c>
    </row>
    <row r="48">
      <c r="A48" t="n">
        <v>10</v>
      </c>
      <c r="B48" t="inlineStr">
        <is>
          <t>RRP_KMEANS_VNS</t>
        </is>
      </c>
      <c r="C48" t="inlineStr">
        <is>
          <t>KMeans_VNS</t>
        </is>
      </c>
      <c r="D48" t="n">
        <v>400</v>
      </c>
      <c r="E48" t="n">
        <v>2136</v>
      </c>
      <c r="F48" s="3" t="n">
        <v>197.9337259913769</v>
      </c>
      <c r="G48" s="3" t="n">
        <v>2013.238189279117</v>
      </c>
      <c r="H48" s="3" t="n">
        <v>18.41962599999988</v>
      </c>
      <c r="I48" t="n">
        <v>23</v>
      </c>
      <c r="J48" t="n">
        <v>184</v>
      </c>
      <c r="K48" t="n">
        <v>1952</v>
      </c>
      <c r="L48" s="4" t="n">
        <v>0.08614232209737828</v>
      </c>
      <c r="M48" s="3" t="n">
        <v>0.05762957271573297</v>
      </c>
      <c r="N48" s="3" t="n">
        <v>0.6286051960514744</v>
      </c>
      <c r="O48" s="3" t="n">
        <v>8.605814173538127</v>
      </c>
      <c r="P48" s="4" t="n">
        <v>1</v>
      </c>
      <c r="Q48" t="n">
        <v>15</v>
      </c>
      <c r="R48" t="n">
        <v>8</v>
      </c>
      <c r="S48" t="n">
        <v>0</v>
      </c>
      <c r="T48" t="n">
        <v>0</v>
      </c>
      <c r="U48" t="n">
        <v>120</v>
      </c>
      <c r="V48" t="n">
        <v>64</v>
      </c>
      <c r="W48" t="n">
        <v>0</v>
      </c>
      <c r="X48" t="n">
        <v>0</v>
      </c>
      <c r="Y48" t="inlineStr">
        <is>
          <t>P1:15, P2:8, P3:0, P0:0</t>
        </is>
      </c>
      <c r="Z48" t="n">
        <v/>
      </c>
    </row>
    <row r="49">
      <c r="A49" t="n">
        <v>10</v>
      </c>
      <c r="B49" t="inlineStr">
        <is>
          <t>RRP_MS_KMEANS_VNS</t>
        </is>
      </c>
      <c r="C49" t="inlineStr">
        <is>
          <t>MS_KMeans_VNS</t>
        </is>
      </c>
      <c r="D49" t="n">
        <v>400</v>
      </c>
      <c r="E49" t="n">
        <v>2144</v>
      </c>
      <c r="F49" s="3" t="n">
        <v>196.9335649729849</v>
      </c>
      <c r="G49" s="3" t="n">
        <v>2090.239740784752</v>
      </c>
      <c r="H49" s="3" t="n">
        <v>91.11343269999998</v>
      </c>
      <c r="I49" t="n">
        <v>24</v>
      </c>
      <c r="J49" t="n">
        <v>192</v>
      </c>
      <c r="K49" t="n">
        <v>1952</v>
      </c>
      <c r="L49" s="4" t="n">
        <v>0.08955223880597014</v>
      </c>
      <c r="M49" s="3" t="n">
        <v>0.05536252251256566</v>
      </c>
      <c r="N49" s="3" t="n">
        <v>0.5153520016576473</v>
      </c>
      <c r="O49" s="3" t="n">
        <v>8.205565207207705</v>
      </c>
      <c r="P49" s="4" t="n">
        <v>1</v>
      </c>
      <c r="Q49" t="n">
        <v>14</v>
      </c>
      <c r="R49" t="n">
        <v>9</v>
      </c>
      <c r="S49" t="n">
        <v>1</v>
      </c>
      <c r="T49" t="n">
        <v>0</v>
      </c>
      <c r="U49" t="n">
        <v>112</v>
      </c>
      <c r="V49" t="n">
        <v>72</v>
      </c>
      <c r="W49" t="n">
        <v>8</v>
      </c>
      <c r="X49" t="n">
        <v>0</v>
      </c>
      <c r="Y49" t="inlineStr">
        <is>
          <t>P1:14, P2:9, P3:1, P0:0</t>
        </is>
      </c>
      <c r="Z49" t="n">
        <v/>
      </c>
    </row>
    <row r="50">
      <c r="A50" t="n">
        <v>10</v>
      </c>
      <c r="B50" t="inlineStr">
        <is>
          <t>RRP_GA</t>
        </is>
      </c>
      <c r="C50" t="inlineStr">
        <is>
          <t>GA</t>
        </is>
      </c>
      <c r="D50" t="n">
        <v>400</v>
      </c>
      <c r="E50" t="n">
        <v>2104</v>
      </c>
      <c r="F50" s="3" t="n">
        <v>158.9117306717686</v>
      </c>
      <c r="G50" s="3" t="n">
        <v>1780.251856551056</v>
      </c>
      <c r="H50" s="3" t="n">
        <v>28.68820349999987</v>
      </c>
      <c r="I50" t="n">
        <v>26</v>
      </c>
      <c r="J50" t="n">
        <v>208</v>
      </c>
      <c r="K50" t="n">
        <v>1896</v>
      </c>
      <c r="L50" s="4" t="n">
        <v>0.09885931558935361</v>
      </c>
      <c r="M50" s="3" t="n">
        <v>0.06789948325493471</v>
      </c>
      <c r="N50" s="3" t="n">
        <v>0.2037455508537946</v>
      </c>
      <c r="O50" s="3" t="n">
        <v>6.111989641221869</v>
      </c>
      <c r="P50" s="4" t="n">
        <v>0.8076923076923077</v>
      </c>
      <c r="Q50" t="n">
        <v>12</v>
      </c>
      <c r="R50" t="n">
        <v>4</v>
      </c>
      <c r="S50" t="n">
        <v>5</v>
      </c>
      <c r="T50" t="n">
        <v>5</v>
      </c>
      <c r="U50" t="n">
        <v>96</v>
      </c>
      <c r="V50" t="n">
        <v>32</v>
      </c>
      <c r="W50" t="n">
        <v>40</v>
      </c>
      <c r="X50" t="n">
        <v>40</v>
      </c>
      <c r="Y50" t="inlineStr">
        <is>
          <t>P1:12, P2:4, P3:5, P0:5</t>
        </is>
      </c>
      <c r="Z50" t="n">
        <v/>
      </c>
    </row>
    <row r="51">
      <c r="A51" t="n">
        <v>10</v>
      </c>
      <c r="B51" t="inlineStr">
        <is>
          <t>RRP_COLUMN_GENERATION</t>
        </is>
      </c>
      <c r="C51" t="inlineStr">
        <is>
          <t>ColumnGeneration</t>
        </is>
      </c>
      <c r="D51" t="n">
        <v>400</v>
      </c>
      <c r="E51" t="n">
        <v>1840</v>
      </c>
      <c r="F51" s="3" t="n">
        <v>218.9567215995453</v>
      </c>
      <c r="G51" s="3" t="n">
        <v>2216.452960733599</v>
      </c>
      <c r="H51" s="3" t="n">
        <v>11.17096790000051</v>
      </c>
      <c r="I51" t="n">
        <v>30</v>
      </c>
      <c r="J51" t="n">
        <v>240</v>
      </c>
      <c r="K51" t="n">
        <v>1600</v>
      </c>
      <c r="L51" s="4" t="n">
        <v>0.1304347826086956</v>
      </c>
      <c r="M51" s="3" t="n">
        <v>0.02885226696982046</v>
      </c>
      <c r="N51" s="3" t="n">
        <v>0.43217555447676</v>
      </c>
      <c r="O51" s="3" t="n">
        <v>7.298557386651509</v>
      </c>
      <c r="P51" s="4" t="n">
        <v>1</v>
      </c>
      <c r="Q51" t="n">
        <v>12</v>
      </c>
      <c r="R51" t="n">
        <v>15</v>
      </c>
      <c r="S51" t="n">
        <v>3</v>
      </c>
      <c r="T51" t="n">
        <v>0</v>
      </c>
      <c r="U51" t="n">
        <v>96</v>
      </c>
      <c r="V51" t="n">
        <v>120</v>
      </c>
      <c r="W51" t="n">
        <v>24</v>
      </c>
      <c r="X51" t="n">
        <v>0</v>
      </c>
      <c r="Y51" t="inlineStr">
        <is>
          <t>P1:12, P2:15, P3:3, P0:0</t>
        </is>
      </c>
      <c r="Z51" t="n">
        <v>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3" max="3"/>
    <col width="22" customWidth="1" min="4" max="4"/>
    <col width="16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2" t="inlineStr">
        <is>
          <t>method</t>
        </is>
      </c>
      <c r="B1" s="2" t="inlineStr">
        <is>
          <t>method_label</t>
        </is>
      </c>
      <c r="C1" s="2" t="inlineStr">
        <is>
          <t>total_reward</t>
        </is>
      </c>
      <c r="D1" s="2" t="inlineStr">
        <is>
          <t>final_cumulative_reward</t>
        </is>
      </c>
      <c r="E1" s="2" t="inlineStr">
        <is>
          <t>total_runtime</t>
        </is>
      </c>
      <c r="F1" s="2" t="inlineStr">
        <is>
          <t>avg_runtime</t>
        </is>
      </c>
      <c r="G1" s="2" t="inlineStr">
        <is>
          <t>total_packs</t>
        </is>
      </c>
      <c r="H1" s="2" t="inlineStr">
        <is>
          <t>total_used_cells</t>
        </is>
      </c>
      <c r="I1" s="2" t="inlineStr">
        <is>
          <t>final_leftover</t>
        </is>
      </c>
      <c r="J1" s="2" t="inlineStr">
        <is>
          <t>P1_cells_total</t>
        </is>
      </c>
      <c r="K1" s="2" t="inlineStr">
        <is>
          <t>P2_cells_total</t>
        </is>
      </c>
      <c r="L1" s="2" t="inlineStr">
        <is>
          <t>P3_cells_total</t>
        </is>
      </c>
      <c r="M1" s="2" t="inlineStr">
        <is>
          <t>P0_cells_total</t>
        </is>
      </c>
    </row>
    <row r="2">
      <c r="A2" t="inlineStr">
        <is>
          <t>RRP_KMEANS</t>
        </is>
      </c>
      <c r="B2" t="inlineStr">
        <is>
          <t>KMeans</t>
        </is>
      </c>
      <c r="C2" s="3">
        <f>SUMIFS(Round_Results!$F:$F,Round_Results!$B:$B,$A2)</f>
        <v/>
      </c>
      <c r="D2" s="3">
        <f>MAXIFS(Round_Results!$G:$G,Round_Results!$B:$B,$A2)</f>
        <v/>
      </c>
      <c r="E2" s="3">
        <f>SUMIFS(Round_Results!$H:$H,Round_Results!$B:$B,$A2)</f>
        <v/>
      </c>
      <c r="F2" s="3">
        <f>AVERAGEIFS(Round_Results!$H:$H,Round_Results!$B:$B,$A2)</f>
        <v/>
      </c>
      <c r="G2" s="3">
        <f>SUMIFS(Round_Results!$I:$I,Round_Results!$B:$B,$A2)</f>
        <v/>
      </c>
      <c r="H2" s="3">
        <f>SUMIFS(Round_Results!$J:$J,Round_Results!$B:$B,$A2)</f>
        <v/>
      </c>
      <c r="I2" s="3">
        <f>MAXIFS(Round_Results!$K:$K,Round_Results!$B:$B,$A2,Round_Results!$A:$A,10)</f>
        <v/>
      </c>
      <c r="J2" s="3">
        <f>SUMIFS(Round_Results!$U:$U,Round_Results!$B:$B,$A2)</f>
        <v/>
      </c>
      <c r="K2" s="3">
        <f>SUMIFS(Round_Results!$V:$V,Round_Results!$B:$B,$A2)</f>
        <v/>
      </c>
      <c r="L2" s="3">
        <f>SUMIFS(Round_Results!$W:$W,Round_Results!$B:$B,$A2)</f>
        <v/>
      </c>
      <c r="M2" s="3">
        <f>SUMIFS(Round_Results!$X:$X,Round_Results!$B:$B,$A2)</f>
        <v/>
      </c>
    </row>
    <row r="3">
      <c r="A3" t="inlineStr">
        <is>
          <t>RRP_KMEANS_VNS</t>
        </is>
      </c>
      <c r="B3" t="inlineStr">
        <is>
          <t>KMeans_VNS</t>
        </is>
      </c>
      <c r="C3" s="3">
        <f>SUMIFS(Round_Results!$F:$F,Round_Results!$B:$B,$A3)</f>
        <v/>
      </c>
      <c r="D3" s="3">
        <f>MAXIFS(Round_Results!$G:$G,Round_Results!$B:$B,$A3)</f>
        <v/>
      </c>
      <c r="E3" s="3">
        <f>SUMIFS(Round_Results!$H:$H,Round_Results!$B:$B,$A3)</f>
        <v/>
      </c>
      <c r="F3" s="3">
        <f>AVERAGEIFS(Round_Results!$H:$H,Round_Results!$B:$B,$A3)</f>
        <v/>
      </c>
      <c r="G3" s="3">
        <f>SUMIFS(Round_Results!$I:$I,Round_Results!$B:$B,$A3)</f>
        <v/>
      </c>
      <c r="H3" s="3">
        <f>SUMIFS(Round_Results!$J:$J,Round_Results!$B:$B,$A3)</f>
        <v/>
      </c>
      <c r="I3" s="3">
        <f>MAXIFS(Round_Results!$K:$K,Round_Results!$B:$B,$A3,Round_Results!$A:$A,10)</f>
        <v/>
      </c>
      <c r="J3" s="3">
        <f>SUMIFS(Round_Results!$U:$U,Round_Results!$B:$B,$A3)</f>
        <v/>
      </c>
      <c r="K3" s="3">
        <f>SUMIFS(Round_Results!$V:$V,Round_Results!$B:$B,$A3)</f>
        <v/>
      </c>
      <c r="L3" s="3">
        <f>SUMIFS(Round_Results!$W:$W,Round_Results!$B:$B,$A3)</f>
        <v/>
      </c>
      <c r="M3" s="3">
        <f>SUMIFS(Round_Results!$X:$X,Round_Results!$B:$B,$A3)</f>
        <v/>
      </c>
    </row>
    <row r="4">
      <c r="A4" t="inlineStr">
        <is>
          <t>RRP_MS_KMEANS_VNS</t>
        </is>
      </c>
      <c r="B4" t="inlineStr">
        <is>
          <t>MS_KMeans_VNS</t>
        </is>
      </c>
      <c r="C4" s="3">
        <f>SUMIFS(Round_Results!$F:$F,Round_Results!$B:$B,$A4)</f>
        <v/>
      </c>
      <c r="D4" s="3">
        <f>MAXIFS(Round_Results!$G:$G,Round_Results!$B:$B,$A4)</f>
        <v/>
      </c>
      <c r="E4" s="3">
        <f>SUMIFS(Round_Results!$H:$H,Round_Results!$B:$B,$A4)</f>
        <v/>
      </c>
      <c r="F4" s="3">
        <f>AVERAGEIFS(Round_Results!$H:$H,Round_Results!$B:$B,$A4)</f>
        <v/>
      </c>
      <c r="G4" s="3">
        <f>SUMIFS(Round_Results!$I:$I,Round_Results!$B:$B,$A4)</f>
        <v/>
      </c>
      <c r="H4" s="3">
        <f>SUMIFS(Round_Results!$J:$J,Round_Results!$B:$B,$A4)</f>
        <v/>
      </c>
      <c r="I4" s="3">
        <f>MAXIFS(Round_Results!$K:$K,Round_Results!$B:$B,$A4,Round_Results!$A:$A,10)</f>
        <v/>
      </c>
      <c r="J4" s="3">
        <f>SUMIFS(Round_Results!$U:$U,Round_Results!$B:$B,$A4)</f>
        <v/>
      </c>
      <c r="K4" s="3">
        <f>SUMIFS(Round_Results!$V:$V,Round_Results!$B:$B,$A4)</f>
        <v/>
      </c>
      <c r="L4" s="3">
        <f>SUMIFS(Round_Results!$W:$W,Round_Results!$B:$B,$A4)</f>
        <v/>
      </c>
      <c r="M4" s="3">
        <f>SUMIFS(Round_Results!$X:$X,Round_Results!$B:$B,$A4)</f>
        <v/>
      </c>
    </row>
    <row r="5">
      <c r="A5" t="inlineStr">
        <is>
          <t>RRP_GA</t>
        </is>
      </c>
      <c r="B5" t="inlineStr">
        <is>
          <t>GA</t>
        </is>
      </c>
      <c r="C5" s="3">
        <f>SUMIFS(Round_Results!$F:$F,Round_Results!$B:$B,$A5)</f>
        <v/>
      </c>
      <c r="D5" s="3">
        <f>MAXIFS(Round_Results!$G:$G,Round_Results!$B:$B,$A5)</f>
        <v/>
      </c>
      <c r="E5" s="3">
        <f>SUMIFS(Round_Results!$H:$H,Round_Results!$B:$B,$A5)</f>
        <v/>
      </c>
      <c r="F5" s="3">
        <f>AVERAGEIFS(Round_Results!$H:$H,Round_Results!$B:$B,$A5)</f>
        <v/>
      </c>
      <c r="G5" s="3">
        <f>SUMIFS(Round_Results!$I:$I,Round_Results!$B:$B,$A5)</f>
        <v/>
      </c>
      <c r="H5" s="3">
        <f>SUMIFS(Round_Results!$J:$J,Round_Results!$B:$B,$A5)</f>
        <v/>
      </c>
      <c r="I5" s="3">
        <f>MAXIFS(Round_Results!$K:$K,Round_Results!$B:$B,$A5,Round_Results!$A:$A,10)</f>
        <v/>
      </c>
      <c r="J5" s="3">
        <f>SUMIFS(Round_Results!$U:$U,Round_Results!$B:$B,$A5)</f>
        <v/>
      </c>
      <c r="K5" s="3">
        <f>SUMIFS(Round_Results!$V:$V,Round_Results!$B:$B,$A5)</f>
        <v/>
      </c>
      <c r="L5" s="3">
        <f>SUMIFS(Round_Results!$W:$W,Round_Results!$B:$B,$A5)</f>
        <v/>
      </c>
      <c r="M5" s="3">
        <f>SUMIFS(Round_Results!$X:$X,Round_Results!$B:$B,$A5)</f>
        <v/>
      </c>
    </row>
    <row r="6">
      <c r="A6" t="inlineStr">
        <is>
          <t>RRP_COLUMN_GENERATION</t>
        </is>
      </c>
      <c r="B6" t="inlineStr">
        <is>
          <t>ColumnGeneration</t>
        </is>
      </c>
      <c r="C6" s="3">
        <f>SUMIFS(Round_Results!$F:$F,Round_Results!$B:$B,$A6)</f>
        <v/>
      </c>
      <c r="D6" s="3">
        <f>MAXIFS(Round_Results!$G:$G,Round_Results!$B:$B,$A6)</f>
        <v/>
      </c>
      <c r="E6" s="3">
        <f>SUMIFS(Round_Results!$H:$H,Round_Results!$B:$B,$A6)</f>
        <v/>
      </c>
      <c r="F6" s="3">
        <f>AVERAGEIFS(Round_Results!$H:$H,Round_Results!$B:$B,$A6)</f>
        <v/>
      </c>
      <c r="G6" s="3">
        <f>SUMIFS(Round_Results!$I:$I,Round_Results!$B:$B,$A6)</f>
        <v/>
      </c>
      <c r="H6" s="3">
        <f>SUMIFS(Round_Results!$J:$J,Round_Results!$B:$B,$A6)</f>
        <v/>
      </c>
      <c r="I6" s="3">
        <f>MAXIFS(Round_Results!$K:$K,Round_Results!$B:$B,$A6,Round_Results!$A:$A,10)</f>
        <v/>
      </c>
      <c r="J6" s="3">
        <f>SUMIFS(Round_Results!$U:$U,Round_Results!$B:$B,$A6)</f>
        <v/>
      </c>
      <c r="K6" s="3">
        <f>SUMIFS(Round_Results!$V:$V,Round_Results!$B:$B,$A6)</f>
        <v/>
      </c>
      <c r="L6" s="3">
        <f>SUMIFS(Round_Results!$W:$W,Round_Results!$B:$B,$A6)</f>
        <v/>
      </c>
      <c r="M6" s="3">
        <f>SUMIFS(Round_Results!$X:$X,Round_Results!$B:$B,$A6)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24" customWidth="1" min="6" max="6"/>
  </cols>
  <sheetData>
    <row r="1">
      <c r="A1" s="2" t="inlineStr">
        <is>
          <t>round</t>
        </is>
      </c>
      <c r="B1" s="2" t="inlineStr">
        <is>
          <t>RRP_KMEANS</t>
        </is>
      </c>
      <c r="C1" s="2" t="inlineStr">
        <is>
          <t>RRP_KMEANS_VNS</t>
        </is>
      </c>
      <c r="D1" s="2" t="inlineStr">
        <is>
          <t>RRP_MS_KMEANS_VNS</t>
        </is>
      </c>
      <c r="E1" s="2" t="inlineStr">
        <is>
          <t>RRP_GA</t>
        </is>
      </c>
      <c r="F1" s="2" t="inlineStr">
        <is>
          <t>RRP_COLUMN_GENERATION</t>
        </is>
      </c>
    </row>
    <row r="2">
      <c r="A2" t="n">
        <v>1</v>
      </c>
      <c r="B2" s="3">
        <f>SUMIFS(Round_Results!$F:$F,Round_Results!$B:$B,B$1,Round_Results!$A:$A,"&lt;="&amp;$A2)</f>
        <v/>
      </c>
      <c r="C2" s="3">
        <f>SUMIFS(Round_Results!$F:$F,Round_Results!$B:$B,C$1,Round_Results!$A:$A,"&lt;="&amp;$A2)</f>
        <v/>
      </c>
      <c r="D2" s="3">
        <f>SUMIFS(Round_Results!$F:$F,Round_Results!$B:$B,D$1,Round_Results!$A:$A,"&lt;="&amp;$A2)</f>
        <v/>
      </c>
      <c r="E2" s="3">
        <f>SUMIFS(Round_Results!$F:$F,Round_Results!$B:$B,E$1,Round_Results!$A:$A,"&lt;="&amp;$A2)</f>
        <v/>
      </c>
      <c r="F2" s="3">
        <f>SUMIFS(Round_Results!$F:$F,Round_Results!$B:$B,F$1,Round_Results!$A:$A,"&lt;="&amp;$A2)</f>
        <v/>
      </c>
    </row>
    <row r="3">
      <c r="A3" t="n">
        <v>2</v>
      </c>
      <c r="B3" s="3">
        <f>SUMIFS(Round_Results!$F:$F,Round_Results!$B:$B,B$1,Round_Results!$A:$A,"&lt;="&amp;$A3)</f>
        <v/>
      </c>
      <c r="C3" s="3">
        <f>SUMIFS(Round_Results!$F:$F,Round_Results!$B:$B,C$1,Round_Results!$A:$A,"&lt;="&amp;$A3)</f>
        <v/>
      </c>
      <c r="D3" s="3">
        <f>SUMIFS(Round_Results!$F:$F,Round_Results!$B:$B,D$1,Round_Results!$A:$A,"&lt;="&amp;$A3)</f>
        <v/>
      </c>
      <c r="E3" s="3">
        <f>SUMIFS(Round_Results!$F:$F,Round_Results!$B:$B,E$1,Round_Results!$A:$A,"&lt;="&amp;$A3)</f>
        <v/>
      </c>
      <c r="F3" s="3">
        <f>SUMIFS(Round_Results!$F:$F,Round_Results!$B:$B,F$1,Round_Results!$A:$A,"&lt;="&amp;$A3)</f>
        <v/>
      </c>
    </row>
    <row r="4">
      <c r="A4" t="n">
        <v>3</v>
      </c>
      <c r="B4" s="3">
        <f>SUMIFS(Round_Results!$F:$F,Round_Results!$B:$B,B$1,Round_Results!$A:$A,"&lt;="&amp;$A4)</f>
        <v/>
      </c>
      <c r="C4" s="3">
        <f>SUMIFS(Round_Results!$F:$F,Round_Results!$B:$B,C$1,Round_Results!$A:$A,"&lt;="&amp;$A4)</f>
        <v/>
      </c>
      <c r="D4" s="3">
        <f>SUMIFS(Round_Results!$F:$F,Round_Results!$B:$B,D$1,Round_Results!$A:$A,"&lt;="&amp;$A4)</f>
        <v/>
      </c>
      <c r="E4" s="3">
        <f>SUMIFS(Round_Results!$F:$F,Round_Results!$B:$B,E$1,Round_Results!$A:$A,"&lt;="&amp;$A4)</f>
        <v/>
      </c>
      <c r="F4" s="3">
        <f>SUMIFS(Round_Results!$F:$F,Round_Results!$B:$B,F$1,Round_Results!$A:$A,"&lt;="&amp;$A4)</f>
        <v/>
      </c>
    </row>
    <row r="5">
      <c r="A5" t="n">
        <v>4</v>
      </c>
      <c r="B5" s="3">
        <f>SUMIFS(Round_Results!$F:$F,Round_Results!$B:$B,B$1,Round_Results!$A:$A,"&lt;="&amp;$A5)</f>
        <v/>
      </c>
      <c r="C5" s="3">
        <f>SUMIFS(Round_Results!$F:$F,Round_Results!$B:$B,C$1,Round_Results!$A:$A,"&lt;="&amp;$A5)</f>
        <v/>
      </c>
      <c r="D5" s="3">
        <f>SUMIFS(Round_Results!$F:$F,Round_Results!$B:$B,D$1,Round_Results!$A:$A,"&lt;="&amp;$A5)</f>
        <v/>
      </c>
      <c r="E5" s="3">
        <f>SUMIFS(Round_Results!$F:$F,Round_Results!$B:$B,E$1,Round_Results!$A:$A,"&lt;="&amp;$A5)</f>
        <v/>
      </c>
      <c r="F5" s="3">
        <f>SUMIFS(Round_Results!$F:$F,Round_Results!$B:$B,F$1,Round_Results!$A:$A,"&lt;="&amp;$A5)</f>
        <v/>
      </c>
    </row>
    <row r="6">
      <c r="A6" t="n">
        <v>5</v>
      </c>
      <c r="B6" s="3">
        <f>SUMIFS(Round_Results!$F:$F,Round_Results!$B:$B,B$1,Round_Results!$A:$A,"&lt;="&amp;$A6)</f>
        <v/>
      </c>
      <c r="C6" s="3">
        <f>SUMIFS(Round_Results!$F:$F,Round_Results!$B:$B,C$1,Round_Results!$A:$A,"&lt;="&amp;$A6)</f>
        <v/>
      </c>
      <c r="D6" s="3">
        <f>SUMIFS(Round_Results!$F:$F,Round_Results!$B:$B,D$1,Round_Results!$A:$A,"&lt;="&amp;$A6)</f>
        <v/>
      </c>
      <c r="E6" s="3">
        <f>SUMIFS(Round_Results!$F:$F,Round_Results!$B:$B,E$1,Round_Results!$A:$A,"&lt;="&amp;$A6)</f>
        <v/>
      </c>
      <c r="F6" s="3">
        <f>SUMIFS(Round_Results!$F:$F,Round_Results!$B:$B,F$1,Round_Results!$A:$A,"&lt;="&amp;$A6)</f>
        <v/>
      </c>
    </row>
    <row r="7">
      <c r="A7" t="n">
        <v>6</v>
      </c>
      <c r="B7" s="3">
        <f>SUMIFS(Round_Results!$F:$F,Round_Results!$B:$B,B$1,Round_Results!$A:$A,"&lt;="&amp;$A7)</f>
        <v/>
      </c>
      <c r="C7" s="3">
        <f>SUMIFS(Round_Results!$F:$F,Round_Results!$B:$B,C$1,Round_Results!$A:$A,"&lt;="&amp;$A7)</f>
        <v/>
      </c>
      <c r="D7" s="3">
        <f>SUMIFS(Round_Results!$F:$F,Round_Results!$B:$B,D$1,Round_Results!$A:$A,"&lt;="&amp;$A7)</f>
        <v/>
      </c>
      <c r="E7" s="3">
        <f>SUMIFS(Round_Results!$F:$F,Round_Results!$B:$B,E$1,Round_Results!$A:$A,"&lt;="&amp;$A7)</f>
        <v/>
      </c>
      <c r="F7" s="3">
        <f>SUMIFS(Round_Results!$F:$F,Round_Results!$B:$B,F$1,Round_Results!$A:$A,"&lt;="&amp;$A7)</f>
        <v/>
      </c>
    </row>
    <row r="8">
      <c r="A8" t="n">
        <v>7</v>
      </c>
      <c r="B8" s="3">
        <f>SUMIFS(Round_Results!$F:$F,Round_Results!$B:$B,B$1,Round_Results!$A:$A,"&lt;="&amp;$A8)</f>
        <v/>
      </c>
      <c r="C8" s="3">
        <f>SUMIFS(Round_Results!$F:$F,Round_Results!$B:$B,C$1,Round_Results!$A:$A,"&lt;="&amp;$A8)</f>
        <v/>
      </c>
      <c r="D8" s="3">
        <f>SUMIFS(Round_Results!$F:$F,Round_Results!$B:$B,D$1,Round_Results!$A:$A,"&lt;="&amp;$A8)</f>
        <v/>
      </c>
      <c r="E8" s="3">
        <f>SUMIFS(Round_Results!$F:$F,Round_Results!$B:$B,E$1,Round_Results!$A:$A,"&lt;="&amp;$A8)</f>
        <v/>
      </c>
      <c r="F8" s="3">
        <f>SUMIFS(Round_Results!$F:$F,Round_Results!$B:$B,F$1,Round_Results!$A:$A,"&lt;="&amp;$A8)</f>
        <v/>
      </c>
    </row>
    <row r="9">
      <c r="A9" t="n">
        <v>8</v>
      </c>
      <c r="B9" s="3">
        <f>SUMIFS(Round_Results!$F:$F,Round_Results!$B:$B,B$1,Round_Results!$A:$A,"&lt;="&amp;$A9)</f>
        <v/>
      </c>
      <c r="C9" s="3">
        <f>SUMIFS(Round_Results!$F:$F,Round_Results!$B:$B,C$1,Round_Results!$A:$A,"&lt;="&amp;$A9)</f>
        <v/>
      </c>
      <c r="D9" s="3">
        <f>SUMIFS(Round_Results!$F:$F,Round_Results!$B:$B,D$1,Round_Results!$A:$A,"&lt;="&amp;$A9)</f>
        <v/>
      </c>
      <c r="E9" s="3">
        <f>SUMIFS(Round_Results!$F:$F,Round_Results!$B:$B,E$1,Round_Results!$A:$A,"&lt;="&amp;$A9)</f>
        <v/>
      </c>
      <c r="F9" s="3">
        <f>SUMIFS(Round_Results!$F:$F,Round_Results!$B:$B,F$1,Round_Results!$A:$A,"&lt;="&amp;$A9)</f>
        <v/>
      </c>
    </row>
    <row r="10">
      <c r="A10" t="n">
        <v>9</v>
      </c>
      <c r="B10" s="3">
        <f>SUMIFS(Round_Results!$F:$F,Round_Results!$B:$B,B$1,Round_Results!$A:$A,"&lt;="&amp;$A10)</f>
        <v/>
      </c>
      <c r="C10" s="3">
        <f>SUMIFS(Round_Results!$F:$F,Round_Results!$B:$B,C$1,Round_Results!$A:$A,"&lt;="&amp;$A10)</f>
        <v/>
      </c>
      <c r="D10" s="3">
        <f>SUMIFS(Round_Results!$F:$F,Round_Results!$B:$B,D$1,Round_Results!$A:$A,"&lt;="&amp;$A10)</f>
        <v/>
      </c>
      <c r="E10" s="3">
        <f>SUMIFS(Round_Results!$F:$F,Round_Results!$B:$B,E$1,Round_Results!$A:$A,"&lt;="&amp;$A10)</f>
        <v/>
      </c>
      <c r="F10" s="3">
        <f>SUMIFS(Round_Results!$F:$F,Round_Results!$B:$B,F$1,Round_Results!$A:$A,"&lt;="&amp;$A10)</f>
        <v/>
      </c>
    </row>
    <row r="11">
      <c r="A11" t="n">
        <v>10</v>
      </c>
      <c r="B11" s="3">
        <f>SUMIFS(Round_Results!$F:$F,Round_Results!$B:$B,B$1,Round_Results!$A:$A,"&lt;="&amp;$A11)</f>
        <v/>
      </c>
      <c r="C11" s="3">
        <f>SUMIFS(Round_Results!$F:$F,Round_Results!$B:$B,C$1,Round_Results!$A:$A,"&lt;="&amp;$A11)</f>
        <v/>
      </c>
      <c r="D11" s="3">
        <f>SUMIFS(Round_Results!$F:$F,Round_Results!$B:$B,D$1,Round_Results!$A:$A,"&lt;="&amp;$A11)</f>
        <v/>
      </c>
      <c r="E11" s="3">
        <f>SUMIFS(Round_Results!$F:$F,Round_Results!$B:$B,E$1,Round_Results!$A:$A,"&lt;="&amp;$A11)</f>
        <v/>
      </c>
      <c r="F11" s="3">
        <f>SUMIFS(Round_Results!$F:$F,Round_Results!$B:$B,F$1,Round_Results!$A:$A,"&lt;="&amp;$A11)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" t="inlineStr">
        <is>
          <t>method</t>
        </is>
      </c>
      <c r="B1" s="2" t="inlineStr">
        <is>
          <t>P1_cells_total</t>
        </is>
      </c>
      <c r="C1" s="2" t="inlineStr">
        <is>
          <t>P2_cells_total</t>
        </is>
      </c>
      <c r="D1" s="2" t="inlineStr">
        <is>
          <t>P3_cells_total</t>
        </is>
      </c>
      <c r="E1" s="2" t="inlineStr">
        <is>
          <t>P0_cells_total</t>
        </is>
      </c>
    </row>
    <row r="2">
      <c r="A2" t="inlineStr">
        <is>
          <t>RRP_KMEANS</t>
        </is>
      </c>
      <c r="B2" s="3">
        <f>SUMIFS(Round_Results!$U:$U,Round_Results!$B:$B,$A2)</f>
        <v/>
      </c>
      <c r="C2" s="3">
        <f>SUMIFS(Round_Results!$V:$V,Round_Results!$B:$B,$A2)</f>
        <v/>
      </c>
      <c r="D2" s="3">
        <f>SUMIFS(Round_Results!$W:$W,Round_Results!$B:$B,$A2)</f>
        <v/>
      </c>
      <c r="E2" s="3">
        <f>SUMIFS(Round_Results!$X:$X,Round_Results!$B:$B,$A2)</f>
        <v/>
      </c>
    </row>
    <row r="3">
      <c r="A3" t="inlineStr">
        <is>
          <t>RRP_KMEANS_VNS</t>
        </is>
      </c>
      <c r="B3" s="3">
        <f>SUMIFS(Round_Results!$U:$U,Round_Results!$B:$B,$A3)</f>
        <v/>
      </c>
      <c r="C3" s="3">
        <f>SUMIFS(Round_Results!$V:$V,Round_Results!$B:$B,$A3)</f>
        <v/>
      </c>
      <c r="D3" s="3">
        <f>SUMIFS(Round_Results!$W:$W,Round_Results!$B:$B,$A3)</f>
        <v/>
      </c>
      <c r="E3" s="3">
        <f>SUMIFS(Round_Results!$X:$X,Round_Results!$B:$B,$A3)</f>
        <v/>
      </c>
    </row>
    <row r="4">
      <c r="A4" t="inlineStr">
        <is>
          <t>RRP_MS_KMEANS_VNS</t>
        </is>
      </c>
      <c r="B4" s="3">
        <f>SUMIFS(Round_Results!$U:$U,Round_Results!$B:$B,$A4)</f>
        <v/>
      </c>
      <c r="C4" s="3">
        <f>SUMIFS(Round_Results!$V:$V,Round_Results!$B:$B,$A4)</f>
        <v/>
      </c>
      <c r="D4" s="3">
        <f>SUMIFS(Round_Results!$W:$W,Round_Results!$B:$B,$A4)</f>
        <v/>
      </c>
      <c r="E4" s="3">
        <f>SUMIFS(Round_Results!$X:$X,Round_Results!$B:$B,$A4)</f>
        <v/>
      </c>
    </row>
    <row r="5">
      <c r="A5" t="inlineStr">
        <is>
          <t>RRP_GA</t>
        </is>
      </c>
      <c r="B5" s="3">
        <f>SUMIFS(Round_Results!$U:$U,Round_Results!$B:$B,$A5)</f>
        <v/>
      </c>
      <c r="C5" s="3">
        <f>SUMIFS(Round_Results!$V:$V,Round_Results!$B:$B,$A5)</f>
        <v/>
      </c>
      <c r="D5" s="3">
        <f>SUMIFS(Round_Results!$W:$W,Round_Results!$B:$B,$A5)</f>
        <v/>
      </c>
      <c r="E5" s="3">
        <f>SUMIFS(Round_Results!$X:$X,Round_Results!$B:$B,$A5)</f>
        <v/>
      </c>
    </row>
    <row r="6">
      <c r="A6" t="inlineStr">
        <is>
          <t>RRP_COLUMN_GENERATION</t>
        </is>
      </c>
      <c r="B6" s="3">
        <f>SUMIFS(Round_Results!$U:$U,Round_Results!$B:$B,$A6)</f>
        <v/>
      </c>
      <c r="C6" s="3">
        <f>SUMIFS(Round_Results!$V:$V,Round_Results!$B:$B,$A6)</f>
        <v/>
      </c>
      <c r="D6" s="3">
        <f>SUMIFS(Round_Results!$W:$W,Round_Results!$B:$B,$A6)</f>
        <v/>
      </c>
      <c r="E6" s="3">
        <f>SUMIFS(Round_Results!$X:$X,Round_Results!$B:$B,$A6)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24" customWidth="1" min="6" max="6"/>
  </cols>
  <sheetData>
    <row r="1">
      <c r="A1" s="2" t="inlineStr">
        <is>
          <t>round</t>
        </is>
      </c>
      <c r="B1" s="2" t="inlineStr">
        <is>
          <t>RRP_KMEANS</t>
        </is>
      </c>
      <c r="C1" s="2" t="inlineStr">
        <is>
          <t>RRP_KMEANS_VNS</t>
        </is>
      </c>
      <c r="D1" s="2" t="inlineStr">
        <is>
          <t>RRP_MS_KMEANS_VNS</t>
        </is>
      </c>
      <c r="E1" s="2" t="inlineStr">
        <is>
          <t>RRP_GA</t>
        </is>
      </c>
      <c r="F1" s="2" t="inlineStr">
        <is>
          <t>RRP_COLUMN_GENERATION</t>
        </is>
      </c>
    </row>
    <row r="2">
      <c r="A2" t="n">
        <v>1</v>
      </c>
      <c r="B2" s="3">
        <f>SUMIFS(Round_Results!$H:$H,Round_Results!$B:$B,B$1,Round_Results!$A:$A,$A2)</f>
        <v/>
      </c>
      <c r="C2" s="3">
        <f>SUMIFS(Round_Results!$H:$H,Round_Results!$B:$B,C$1,Round_Results!$A:$A,$A2)</f>
        <v/>
      </c>
      <c r="D2" s="3">
        <f>SUMIFS(Round_Results!$H:$H,Round_Results!$B:$B,D$1,Round_Results!$A:$A,$A2)</f>
        <v/>
      </c>
      <c r="E2" s="3">
        <f>SUMIFS(Round_Results!$H:$H,Round_Results!$B:$B,E$1,Round_Results!$A:$A,$A2)</f>
        <v/>
      </c>
      <c r="F2" s="3">
        <f>SUMIFS(Round_Results!$H:$H,Round_Results!$B:$B,F$1,Round_Results!$A:$A,$A2)</f>
        <v/>
      </c>
    </row>
    <row r="3">
      <c r="A3" t="n">
        <v>2</v>
      </c>
      <c r="B3" s="3">
        <f>SUMIFS(Round_Results!$H:$H,Round_Results!$B:$B,B$1,Round_Results!$A:$A,$A3)</f>
        <v/>
      </c>
      <c r="C3" s="3">
        <f>SUMIFS(Round_Results!$H:$H,Round_Results!$B:$B,C$1,Round_Results!$A:$A,$A3)</f>
        <v/>
      </c>
      <c r="D3" s="3">
        <f>SUMIFS(Round_Results!$H:$H,Round_Results!$B:$B,D$1,Round_Results!$A:$A,$A3)</f>
        <v/>
      </c>
      <c r="E3" s="3">
        <f>SUMIFS(Round_Results!$H:$H,Round_Results!$B:$B,E$1,Round_Results!$A:$A,$A3)</f>
        <v/>
      </c>
      <c r="F3" s="3">
        <f>SUMIFS(Round_Results!$H:$H,Round_Results!$B:$B,F$1,Round_Results!$A:$A,$A3)</f>
        <v/>
      </c>
    </row>
    <row r="4">
      <c r="A4" t="n">
        <v>3</v>
      </c>
      <c r="B4" s="3">
        <f>SUMIFS(Round_Results!$H:$H,Round_Results!$B:$B,B$1,Round_Results!$A:$A,$A4)</f>
        <v/>
      </c>
      <c r="C4" s="3">
        <f>SUMIFS(Round_Results!$H:$H,Round_Results!$B:$B,C$1,Round_Results!$A:$A,$A4)</f>
        <v/>
      </c>
      <c r="D4" s="3">
        <f>SUMIFS(Round_Results!$H:$H,Round_Results!$B:$B,D$1,Round_Results!$A:$A,$A4)</f>
        <v/>
      </c>
      <c r="E4" s="3">
        <f>SUMIFS(Round_Results!$H:$H,Round_Results!$B:$B,E$1,Round_Results!$A:$A,$A4)</f>
        <v/>
      </c>
      <c r="F4" s="3">
        <f>SUMIFS(Round_Results!$H:$H,Round_Results!$B:$B,F$1,Round_Results!$A:$A,$A4)</f>
        <v/>
      </c>
    </row>
    <row r="5">
      <c r="A5" t="n">
        <v>4</v>
      </c>
      <c r="B5" s="3">
        <f>SUMIFS(Round_Results!$H:$H,Round_Results!$B:$B,B$1,Round_Results!$A:$A,$A5)</f>
        <v/>
      </c>
      <c r="C5" s="3">
        <f>SUMIFS(Round_Results!$H:$H,Round_Results!$B:$B,C$1,Round_Results!$A:$A,$A5)</f>
        <v/>
      </c>
      <c r="D5" s="3">
        <f>SUMIFS(Round_Results!$H:$H,Round_Results!$B:$B,D$1,Round_Results!$A:$A,$A5)</f>
        <v/>
      </c>
      <c r="E5" s="3">
        <f>SUMIFS(Round_Results!$H:$H,Round_Results!$B:$B,E$1,Round_Results!$A:$A,$A5)</f>
        <v/>
      </c>
      <c r="F5" s="3">
        <f>SUMIFS(Round_Results!$H:$H,Round_Results!$B:$B,F$1,Round_Results!$A:$A,$A5)</f>
        <v/>
      </c>
    </row>
    <row r="6">
      <c r="A6" t="n">
        <v>5</v>
      </c>
      <c r="B6" s="3">
        <f>SUMIFS(Round_Results!$H:$H,Round_Results!$B:$B,B$1,Round_Results!$A:$A,$A6)</f>
        <v/>
      </c>
      <c r="C6" s="3">
        <f>SUMIFS(Round_Results!$H:$H,Round_Results!$B:$B,C$1,Round_Results!$A:$A,$A6)</f>
        <v/>
      </c>
      <c r="D6" s="3">
        <f>SUMIFS(Round_Results!$H:$H,Round_Results!$B:$B,D$1,Round_Results!$A:$A,$A6)</f>
        <v/>
      </c>
      <c r="E6" s="3">
        <f>SUMIFS(Round_Results!$H:$H,Round_Results!$B:$B,E$1,Round_Results!$A:$A,$A6)</f>
        <v/>
      </c>
      <c r="F6" s="3">
        <f>SUMIFS(Round_Results!$H:$H,Round_Results!$B:$B,F$1,Round_Results!$A:$A,$A6)</f>
        <v/>
      </c>
    </row>
    <row r="7">
      <c r="A7" t="n">
        <v>6</v>
      </c>
      <c r="B7" s="3">
        <f>SUMIFS(Round_Results!$H:$H,Round_Results!$B:$B,B$1,Round_Results!$A:$A,$A7)</f>
        <v/>
      </c>
      <c r="C7" s="3">
        <f>SUMIFS(Round_Results!$H:$H,Round_Results!$B:$B,C$1,Round_Results!$A:$A,$A7)</f>
        <v/>
      </c>
      <c r="D7" s="3">
        <f>SUMIFS(Round_Results!$H:$H,Round_Results!$B:$B,D$1,Round_Results!$A:$A,$A7)</f>
        <v/>
      </c>
      <c r="E7" s="3">
        <f>SUMIFS(Round_Results!$H:$H,Round_Results!$B:$B,E$1,Round_Results!$A:$A,$A7)</f>
        <v/>
      </c>
      <c r="F7" s="3">
        <f>SUMIFS(Round_Results!$H:$H,Round_Results!$B:$B,F$1,Round_Results!$A:$A,$A7)</f>
        <v/>
      </c>
    </row>
    <row r="8">
      <c r="A8" t="n">
        <v>7</v>
      </c>
      <c r="B8" s="3">
        <f>SUMIFS(Round_Results!$H:$H,Round_Results!$B:$B,B$1,Round_Results!$A:$A,$A8)</f>
        <v/>
      </c>
      <c r="C8" s="3">
        <f>SUMIFS(Round_Results!$H:$H,Round_Results!$B:$B,C$1,Round_Results!$A:$A,$A8)</f>
        <v/>
      </c>
      <c r="D8" s="3">
        <f>SUMIFS(Round_Results!$H:$H,Round_Results!$B:$B,D$1,Round_Results!$A:$A,$A8)</f>
        <v/>
      </c>
      <c r="E8" s="3">
        <f>SUMIFS(Round_Results!$H:$H,Round_Results!$B:$B,E$1,Round_Results!$A:$A,$A8)</f>
        <v/>
      </c>
      <c r="F8" s="3">
        <f>SUMIFS(Round_Results!$H:$H,Round_Results!$B:$B,F$1,Round_Results!$A:$A,$A8)</f>
        <v/>
      </c>
    </row>
    <row r="9">
      <c r="A9" t="n">
        <v>8</v>
      </c>
      <c r="B9" s="3">
        <f>SUMIFS(Round_Results!$H:$H,Round_Results!$B:$B,B$1,Round_Results!$A:$A,$A9)</f>
        <v/>
      </c>
      <c r="C9" s="3">
        <f>SUMIFS(Round_Results!$H:$H,Round_Results!$B:$B,C$1,Round_Results!$A:$A,$A9)</f>
        <v/>
      </c>
      <c r="D9" s="3">
        <f>SUMIFS(Round_Results!$H:$H,Round_Results!$B:$B,D$1,Round_Results!$A:$A,$A9)</f>
        <v/>
      </c>
      <c r="E9" s="3">
        <f>SUMIFS(Round_Results!$H:$H,Round_Results!$B:$B,E$1,Round_Results!$A:$A,$A9)</f>
        <v/>
      </c>
      <c r="F9" s="3">
        <f>SUMIFS(Round_Results!$H:$H,Round_Results!$B:$B,F$1,Round_Results!$A:$A,$A9)</f>
        <v/>
      </c>
    </row>
    <row r="10">
      <c r="A10" t="n">
        <v>9</v>
      </c>
      <c r="B10" s="3">
        <f>SUMIFS(Round_Results!$H:$H,Round_Results!$B:$B,B$1,Round_Results!$A:$A,$A10)</f>
        <v/>
      </c>
      <c r="C10" s="3">
        <f>SUMIFS(Round_Results!$H:$H,Round_Results!$B:$B,C$1,Round_Results!$A:$A,$A10)</f>
        <v/>
      </c>
      <c r="D10" s="3">
        <f>SUMIFS(Round_Results!$H:$H,Round_Results!$B:$B,D$1,Round_Results!$A:$A,$A10)</f>
        <v/>
      </c>
      <c r="E10" s="3">
        <f>SUMIFS(Round_Results!$H:$H,Round_Results!$B:$B,E$1,Round_Results!$A:$A,$A10)</f>
        <v/>
      </c>
      <c r="F10" s="3">
        <f>SUMIFS(Round_Results!$H:$H,Round_Results!$B:$B,F$1,Round_Results!$A:$A,$A10)</f>
        <v/>
      </c>
    </row>
    <row r="11">
      <c r="A11" t="n">
        <v>10</v>
      </c>
      <c r="B11" s="3">
        <f>SUMIFS(Round_Results!$H:$H,Round_Results!$B:$B,B$1,Round_Results!$A:$A,$A11)</f>
        <v/>
      </c>
      <c r="C11" s="3">
        <f>SUMIFS(Round_Results!$H:$H,Round_Results!$B:$B,C$1,Round_Results!$A:$A,$A11)</f>
        <v/>
      </c>
      <c r="D11" s="3">
        <f>SUMIFS(Round_Results!$H:$H,Round_Results!$B:$B,D$1,Round_Results!$A:$A,$A11)</f>
        <v/>
      </c>
      <c r="E11" s="3">
        <f>SUMIFS(Round_Results!$H:$H,Round_Results!$B:$B,E$1,Round_Results!$A:$A,$A11)</f>
        <v/>
      </c>
      <c r="F11" s="3">
        <f>SUMIFS(Round_Results!$H:$H,Round_Results!$B:$B,F$1,Round_Results!$A:$A,$A11)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2026-05-15T18:03:15Z</dcterms:created>
  <dcterms:modified xmlns:dcterms="http://purl.org/dc/terms/" xmlns:xsi="http://www.w3.org/2001/XMLSchema-instance" xsi:type="dcterms:W3CDTF">2026-05-15T18:03:15Z</dcterms:modified>
</cp:coreProperties>
</file>