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Program Files (x86)\Pycharm_project\two-stage\"/>
    </mc:Choice>
  </mc:AlternateContent>
  <xr:revisionPtr revIDLastSave="0" documentId="13_ncr:1_{2E79B5A2-144A-4C7A-8B9E-9D2B79553732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README" sheetId="1" r:id="rId1"/>
    <sheet name="Round_Results" sheetId="2" r:id="rId2"/>
    <sheet name="Method_Summary" sheetId="3" r:id="rId3"/>
    <sheet name="ChartData_CumReward" sheetId="4" r:id="rId4"/>
    <sheet name="ChartData_TierCells" sheetId="5" r:id="rId5"/>
    <sheet name="ChartData_Runtime" sheetId="6" r:id="rId6"/>
    <sheet name="Char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6" l="1"/>
  <c r="E21" i="6"/>
  <c r="D21" i="6"/>
  <c r="C21" i="6"/>
  <c r="B21" i="6"/>
  <c r="F20" i="6"/>
  <c r="E20" i="6"/>
  <c r="D20" i="6"/>
  <c r="C20" i="6"/>
  <c r="B20" i="6"/>
  <c r="F19" i="6"/>
  <c r="E19" i="6"/>
  <c r="D19" i="6"/>
  <c r="C19" i="6"/>
  <c r="B19" i="6"/>
  <c r="F18" i="6"/>
  <c r="E18" i="6"/>
  <c r="D18" i="6"/>
  <c r="C18" i="6"/>
  <c r="B18" i="6"/>
  <c r="F17" i="6"/>
  <c r="E17" i="6"/>
  <c r="D17" i="6"/>
  <c r="C17" i="6"/>
  <c r="B17" i="6"/>
  <c r="F16" i="6"/>
  <c r="E16" i="6"/>
  <c r="D16" i="6"/>
  <c r="C16" i="6"/>
  <c r="B16" i="6"/>
  <c r="F15" i="6"/>
  <c r="E15" i="6"/>
  <c r="D15" i="6"/>
  <c r="C15" i="6"/>
  <c r="B15" i="6"/>
  <c r="F14" i="6"/>
  <c r="E14" i="6"/>
  <c r="D14" i="6"/>
  <c r="C14" i="6"/>
  <c r="B14" i="6"/>
  <c r="F13" i="6"/>
  <c r="E13" i="6"/>
  <c r="D13" i="6"/>
  <c r="C13" i="6"/>
  <c r="B13" i="6"/>
  <c r="F12" i="6"/>
  <c r="E12" i="6"/>
  <c r="D12" i="6"/>
  <c r="C12" i="6"/>
  <c r="B12" i="6"/>
  <c r="F11" i="6"/>
  <c r="E11" i="6"/>
  <c r="D11" i="6"/>
  <c r="C11" i="6"/>
  <c r="B11" i="6"/>
  <c r="F10" i="6"/>
  <c r="E10" i="6"/>
  <c r="D10" i="6"/>
  <c r="C10" i="6"/>
  <c r="B10" i="6"/>
  <c r="F9" i="6"/>
  <c r="E9" i="6"/>
  <c r="D9" i="6"/>
  <c r="C9" i="6"/>
  <c r="B9" i="6"/>
  <c r="F8" i="6"/>
  <c r="E8" i="6"/>
  <c r="D8" i="6"/>
  <c r="C8" i="6"/>
  <c r="B8" i="6"/>
  <c r="F7" i="6"/>
  <c r="E7" i="6"/>
  <c r="D7" i="6"/>
  <c r="C7" i="6"/>
  <c r="B7" i="6"/>
  <c r="F6" i="6"/>
  <c r="E6" i="6"/>
  <c r="D6" i="6"/>
  <c r="C6" i="6"/>
  <c r="B6" i="6"/>
  <c r="F5" i="6"/>
  <c r="E5" i="6"/>
  <c r="D5" i="6"/>
  <c r="C5" i="6"/>
  <c r="B5" i="6"/>
  <c r="F4" i="6"/>
  <c r="E4" i="6"/>
  <c r="D4" i="6"/>
  <c r="C4" i="6"/>
  <c r="B4" i="6"/>
  <c r="F3" i="6"/>
  <c r="E3" i="6"/>
  <c r="D3" i="6"/>
  <c r="C3" i="6"/>
  <c r="B3" i="6"/>
  <c r="F2" i="6"/>
  <c r="E2" i="6"/>
  <c r="D2" i="6"/>
  <c r="C2" i="6"/>
  <c r="B2" i="6"/>
  <c r="E6" i="5"/>
  <c r="D6" i="5"/>
  <c r="C6" i="5"/>
  <c r="B6" i="5"/>
  <c r="E5" i="5"/>
  <c r="D5" i="5"/>
  <c r="C5" i="5"/>
  <c r="B5" i="5"/>
  <c r="E4" i="5"/>
  <c r="D4" i="5"/>
  <c r="C4" i="5"/>
  <c r="B4" i="5"/>
  <c r="E3" i="5"/>
  <c r="D3" i="5"/>
  <c r="C3" i="5"/>
  <c r="B3" i="5"/>
  <c r="E2" i="5"/>
  <c r="D2" i="5"/>
  <c r="C2" i="5"/>
  <c r="B2" i="5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B8" i="4"/>
  <c r="F7" i="4"/>
  <c r="E7" i="4"/>
  <c r="D7" i="4"/>
  <c r="C7" i="4"/>
  <c r="B7" i="4"/>
  <c r="F6" i="4"/>
  <c r="E6" i="4"/>
  <c r="D6" i="4"/>
  <c r="C6" i="4"/>
  <c r="B6" i="4"/>
  <c r="F5" i="4"/>
  <c r="E5" i="4"/>
  <c r="D5" i="4"/>
  <c r="C5" i="4"/>
  <c r="B5" i="4"/>
  <c r="F4" i="4"/>
  <c r="E4" i="4"/>
  <c r="D4" i="4"/>
  <c r="C4" i="4"/>
  <c r="B4" i="4"/>
  <c r="F3" i="4"/>
  <c r="E3" i="4"/>
  <c r="D3" i="4"/>
  <c r="C3" i="4"/>
  <c r="B3" i="4"/>
  <c r="F2" i="4"/>
  <c r="E2" i="4"/>
  <c r="D2" i="4"/>
  <c r="C2" i="4"/>
  <c r="B2" i="4"/>
  <c r="M6" i="3"/>
  <c r="L6" i="3"/>
  <c r="K6" i="3"/>
  <c r="J6" i="3"/>
  <c r="I6" i="3"/>
  <c r="H6" i="3"/>
  <c r="G6" i="3"/>
  <c r="F6" i="3"/>
  <c r="E6" i="3"/>
  <c r="D6" i="3"/>
  <c r="C6" i="3"/>
  <c r="M5" i="3"/>
  <c r="L5" i="3"/>
  <c r="K5" i="3"/>
  <c r="J5" i="3"/>
  <c r="I5" i="3"/>
  <c r="H5" i="3"/>
  <c r="G5" i="3"/>
  <c r="F5" i="3"/>
  <c r="E5" i="3"/>
  <c r="D5" i="3"/>
  <c r="C5" i="3"/>
  <c r="M4" i="3"/>
  <c r="L4" i="3"/>
  <c r="K4" i="3"/>
  <c r="J4" i="3"/>
  <c r="I4" i="3"/>
  <c r="H4" i="3"/>
  <c r="G4" i="3"/>
  <c r="F4" i="3"/>
  <c r="E4" i="3"/>
  <c r="D4" i="3"/>
  <c r="C4" i="3"/>
  <c r="M3" i="3"/>
  <c r="L3" i="3"/>
  <c r="K3" i="3"/>
  <c r="J3" i="3"/>
  <c r="I3" i="3"/>
  <c r="H3" i="3"/>
  <c r="G3" i="3"/>
  <c r="F3" i="3"/>
  <c r="E3" i="3"/>
  <c r="D3" i="3"/>
  <c r="C3" i="3"/>
  <c r="M2" i="3"/>
  <c r="L2" i="3"/>
  <c r="K2" i="3"/>
  <c r="J2" i="3"/>
  <c r="I2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<sst xmlns="http://schemas.openxmlformats.org/spreadsheetml/2006/main" count="389" uniqueCount="136">
  <si>
    <t>20轮重组实验 Excel 模板</t>
  </si>
  <si>
    <t>说明：</t>
  </si>
  <si>
    <t>1. Round_Results 为逐轮明细表，后续可直接按相同列顺序粘贴数据。</t>
  </si>
  <si>
    <t>2. ChartData_CumReward：五种算法每轮累计收益绘图数据。</t>
  </si>
  <si>
    <t>3. ChartData_TierCells：五种算法20轮中各类电芯重组总数量绘图数据。</t>
  </si>
  <si>
    <t>4. ChartData_Runtime：五种算法每轮运行时间绘图数据。</t>
  </si>
  <si>
    <t>5. Charts 工作表内已预置三张图。</t>
  </si>
  <si>
    <t>方法列表：</t>
  </si>
  <si>
    <t>RRP_KMEANS</t>
  </si>
  <si>
    <t>KMeans</t>
  </si>
  <si>
    <t>RRP_KMEANS_VNS</t>
  </si>
  <si>
    <t>KMeans_VNS</t>
  </si>
  <si>
    <t>RRP_GRASP</t>
  </si>
  <si>
    <t>GRASP</t>
  </si>
  <si>
    <t>RRP_GA</t>
  </si>
  <si>
    <t>GA</t>
  </si>
  <si>
    <t>RRP_COLUMN_GENERATION</t>
  </si>
  <si>
    <t>Column_Generation</t>
  </si>
  <si>
    <t>round</t>
  </si>
  <si>
    <t>method</t>
  </si>
  <si>
    <t>method_label</t>
  </si>
  <si>
    <t>new_cells</t>
  </si>
  <si>
    <t>pool_before</t>
  </si>
  <si>
    <t>reward</t>
  </si>
  <si>
    <t>cumulative_reward</t>
  </si>
  <si>
    <t>runtime</t>
  </si>
  <si>
    <t>n_packs</t>
  </si>
  <si>
    <t>used_cells</t>
  </si>
  <si>
    <t>leftover_cells</t>
  </si>
  <si>
    <t>utilization_rate</t>
  </si>
  <si>
    <t>avg_delta</t>
  </si>
  <si>
    <t>avg_phi</t>
  </si>
  <si>
    <t>reward_per_pack</t>
  </si>
  <si>
    <t>positive_pack_ratio</t>
  </si>
  <si>
    <t>P1_packs</t>
  </si>
  <si>
    <t>P2_packs</t>
  </si>
  <si>
    <t>P3_packs</t>
  </si>
  <si>
    <t>P0_packs</t>
  </si>
  <si>
    <t>P1_cells</t>
  </si>
  <si>
    <t>P2_cells</t>
  </si>
  <si>
    <t>P3_cells</t>
  </si>
  <si>
    <t>P0_cells</t>
  </si>
  <si>
    <t>tier_distribution</t>
  </si>
  <si>
    <t>n_columns</t>
  </si>
  <si>
    <t>P1:0, P2:5, P3:8, P0:5</t>
  </si>
  <si>
    <t>P1:0, P2:5, P3:11, P0:1</t>
  </si>
  <si>
    <t>P1:0, P2:5, P3:5, P0:0</t>
  </si>
  <si>
    <t>P1:0, P2:6, P3:10, P0:1</t>
  </si>
  <si>
    <t>P1:1, P2:8, P3:9, P0:0</t>
  </si>
  <si>
    <t>P1:1, P2:6, P3:5, P0:5</t>
  </si>
  <si>
    <t>P1:3, P2:9, P3:7, P0:0</t>
  </si>
  <si>
    <t>P1:3, P2:8, P3:9, P0:0</t>
  </si>
  <si>
    <t>P1:3, P2:9, P3:8, P0:0</t>
  </si>
  <si>
    <t>P1:2, P2:4, P3:6, P0:7</t>
  </si>
  <si>
    <t>P1:0, P2:7, P3:10, P0:0</t>
  </si>
  <si>
    <t>P1:0, P2:6, P3:12, P0:0</t>
  </si>
  <si>
    <t>P1:1, P2:6, P3:11, P0:0</t>
  </si>
  <si>
    <t>P1:1, P2:7, P3:11, P0:0</t>
  </si>
  <si>
    <t>P1:1, P2:4, P3:7, P0:8</t>
  </si>
  <si>
    <t>P1:1, P2:8, P3:8, P0:2</t>
  </si>
  <si>
    <t>P1:1, P2:7, P3:10, P0:0</t>
  </si>
  <si>
    <t>P1:1, P2:8, P3:8, P0:0</t>
  </si>
  <si>
    <t>P1:2, P2:9, P3:8, P0:0</t>
  </si>
  <si>
    <t>P1:0, P2:5, P3:7, P0:6</t>
  </si>
  <si>
    <t>P1:1, P2:7, P3:5, P0:7</t>
  </si>
  <si>
    <t>P1:2, P2:9, P3:9, P0:0</t>
  </si>
  <si>
    <t>P1:2, P2:8, P3:9, P0:0</t>
  </si>
  <si>
    <t>P1:1, P2:6, P3:7, P0:6</t>
  </si>
  <si>
    <t>P1:2, P2:8, P3:6, P0:3</t>
  </si>
  <si>
    <t>P1:2, P2:5, P3:8, P0:0</t>
  </si>
  <si>
    <t>P1:3, P2:6, P3:11, P0:0</t>
  </si>
  <si>
    <t>P1:4, P2:8, P3:8, P0:0</t>
  </si>
  <si>
    <t>P1:0, P2:5, P3:10, P0:4</t>
  </si>
  <si>
    <t>P1:3, P2:9, P3:3, P0:5</t>
  </si>
  <si>
    <t>P1:3, P2:10, P3:7, P0:0</t>
  </si>
  <si>
    <t>P1:2, P2:10, P3:8, P0:0</t>
  </si>
  <si>
    <t>P1:3, P2:6, P3:7, P0:3</t>
  </si>
  <si>
    <t>P1:0, P2:5, P3:11, P0:2</t>
  </si>
  <si>
    <t>P1:1, P2:5, P3:14, P0:0</t>
  </si>
  <si>
    <t>P1:1, P2:5, P3:10, P0:0</t>
  </si>
  <si>
    <t>P1:2, P2:6, P3:12, P0:0</t>
  </si>
  <si>
    <t>P1:1, P2:7, P3:7, P0:4</t>
  </si>
  <si>
    <t>P1:5, P2:6, P3:7, P0:1</t>
  </si>
  <si>
    <t>P1:4, P2:4, P3:2, P0:0</t>
  </si>
  <si>
    <t>P1:3, P2:5, P3:5, P0:0</t>
  </si>
  <si>
    <t>P1:4, P2:6, P3:7, P0:0</t>
  </si>
  <si>
    <t>P1:2, P2:2, P3:8, P0:6</t>
  </si>
  <si>
    <t>P1:1, P2:7, P3:8, P0:3</t>
  </si>
  <si>
    <t>P1:1, P2:5, P3:12, P0:0</t>
  </si>
  <si>
    <t>P1:1, P2:8, P3:11, P0:0</t>
  </si>
  <si>
    <t>P1:1, P2:6, P3:5, P0:4</t>
  </si>
  <si>
    <t>P1:3, P2:7, P3:8, P0:1</t>
  </si>
  <si>
    <t>P1:1, P2:7, P3:12, P0:0</t>
  </si>
  <si>
    <t>P1:2, P2:7, P3:9, P0:0</t>
  </si>
  <si>
    <t>P1:1, P2:4, P3:4, P0:9</t>
  </si>
  <si>
    <t>P1:1, P2:5, P3:8, P0:4</t>
  </si>
  <si>
    <t>P1:5, P2:9, P3:6, P0:0</t>
  </si>
  <si>
    <t>P1:2, P2:7, P3:10, P0:0</t>
  </si>
  <si>
    <t>P1:2, P2:5, P3:7, P0:4</t>
  </si>
  <si>
    <t>P1:5, P2:7, P3:5, P0:2</t>
  </si>
  <si>
    <t>P1:3, P2:5, P3:9, P0:0</t>
  </si>
  <si>
    <t>P1:5, P2:8, P3:6, P0:0</t>
  </si>
  <si>
    <t>P1:1, P2:4, P3:8, P0:5</t>
  </si>
  <si>
    <t>P1:1, P2:6, P3:7, P0:3</t>
  </si>
  <si>
    <t>P1:1, P2:6, P3:10, P0:0</t>
  </si>
  <si>
    <t>P1:1, P2:9, P3:10, P0:0</t>
  </si>
  <si>
    <t>P1:2, P2:6, P3:4, P0:5</t>
  </si>
  <si>
    <t>P1:2, P2:8, P3:4, P0:4</t>
  </si>
  <si>
    <t>P1:1, P2:5, P3:13, P0:0</t>
  </si>
  <si>
    <t>P1:2, P2:7, P3:8, P0:0</t>
  </si>
  <si>
    <t>P1:0, P2:3, P3:7, P0:4</t>
  </si>
  <si>
    <t>P1:0, P2:6, P3:5, P0:6</t>
  </si>
  <si>
    <t>P1:2, P2:5, P3:5, P0:6</t>
  </si>
  <si>
    <t>P1:3, P2:9, P3:4, P0:3</t>
  </si>
  <si>
    <t>P1:3, P2:7, P3:10, P0:0</t>
  </si>
  <si>
    <t>P1:3, P2:3, P3:6, P0:6</t>
  </si>
  <si>
    <t>P1:1, P2:7, P3:7, P0:3</t>
  </si>
  <si>
    <t>P1:0, P2:7, P3:5, P0:5</t>
  </si>
  <si>
    <t>P1:0, P2:10, P3:4, P0:3</t>
  </si>
  <si>
    <t>P1:0, P2:3, P3:12, P0:0</t>
  </si>
  <si>
    <t>P1:2, P2:8, P3:10, P0:0</t>
  </si>
  <si>
    <t>P1:1, P2:4, P3:7, P0:3</t>
  </si>
  <si>
    <t>P1:1, P2:8, P3:4, P0:5</t>
  </si>
  <si>
    <t>P1:1, P2:8, P3:10, P0:0</t>
  </si>
  <si>
    <t>P1:0, P2:9, P3:7, P0:0</t>
  </si>
  <si>
    <t>total_reward</t>
  </si>
  <si>
    <t>final_cumulative_reward</t>
  </si>
  <si>
    <t>total_runtime</t>
  </si>
  <si>
    <t>avg_runtime</t>
  </si>
  <si>
    <t>total_packs</t>
  </si>
  <si>
    <t>total_used_cells</t>
  </si>
  <si>
    <t>final_leftover</t>
  </si>
  <si>
    <t>P1_cells_total</t>
  </si>
  <si>
    <t>P2_cells_total</t>
  </si>
  <si>
    <t>P3_cells_total</t>
  </si>
  <si>
    <t>P0_cells_total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</si>
</sst>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00"/>
  </numFmts>
  <fonts count="4" x14ac:knownFonts="1">
    <font>
      <sz val="11"/>
      <color theme="1"/>
      <name val="宋体"/>
      <family val="2"/>
      <scheme val="minor"/>
    </font>
    <font>
      <b/>
      <sz val="14"/>
      <name val="宋体"/>
      <charset val="134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177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五种算法每轮累计收益对比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ChartData_CumReward!$B$1</c:f>
              <c:strCache>
                <c:ptCount val="1"/>
                <c:pt idx="0">
                  <c:v>RRP_KMEANS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ChartData_CumReward!$A$2:$A$21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ChartData_CumReward!$B$2:$B$21</c:f>
              <c:numCache>
                <c:formatCode>0.000</c:formatCode>
                <c:ptCount val="20"/>
                <c:pt idx="0">
                  <c:v>598.85191410782954</c:v>
                </c:pt>
                <c:pt idx="1">
                  <c:v>1237.1373656585142</c:v>
                </c:pt>
                <c:pt idx="2">
                  <c:v>1855.8901474942486</c:v>
                </c:pt>
                <c:pt idx="3">
                  <c:v>2432.0127443802639</c:v>
                </c:pt>
                <c:pt idx="4">
                  <c:v>2977.0819032684458</c:v>
                </c:pt>
                <c:pt idx="5">
                  <c:v>3685.4015210774141</c:v>
                </c:pt>
                <c:pt idx="6">
                  <c:v>4365.1539354668603</c:v>
                </c:pt>
                <c:pt idx="7">
                  <c:v>5308.0049684762253</c:v>
                </c:pt>
                <c:pt idx="8">
                  <c:v>6120.6699024628169</c:v>
                </c:pt>
                <c:pt idx="9">
                  <c:v>6693.9070095900015</c:v>
                </c:pt>
                <c:pt idx="10">
                  <c:v>7357.6486204573039</c:v>
                </c:pt>
                <c:pt idx="11">
                  <c:v>7792.1511042750717</c:v>
                </c:pt>
                <c:pt idx="12">
                  <c:v>8546.2319499228979</c:v>
                </c:pt>
                <c:pt idx="13">
                  <c:v>9151.3163723257803</c:v>
                </c:pt>
                <c:pt idx="14">
                  <c:v>9849.2747004054891</c:v>
                </c:pt>
                <c:pt idx="15">
                  <c:v>10285.652748323448</c:v>
                </c:pt>
                <c:pt idx="16">
                  <c:v>10951.967809533999</c:v>
                </c:pt>
                <c:pt idx="17">
                  <c:v>11600.080362137585</c:v>
                </c:pt>
                <c:pt idx="18">
                  <c:v>12215.306739427146</c:v>
                </c:pt>
                <c:pt idx="19">
                  <c:v>12822.166606262592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DA-400F-B744-008E695A7220}"/>
            </c:ext>
          </c:extLst>
        </c:ser>
        <c:ser>
          <c:idx val="1"/>
          <c:order val="1"/>
          <c:tx>
            <c:strRef>
              <c:f>ChartData_CumReward!$C$1</c:f>
              <c:strCache>
                <c:ptCount val="1"/>
                <c:pt idx="0">
                  <c:v>RRP_KMEANS_VNS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ChartData_CumReward!$A$2:$A$21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ChartData_CumReward!$C$2:$C$21</c:f>
              <c:numCache>
                <c:formatCode>0.000</c:formatCode>
                <c:ptCount val="20"/>
                <c:pt idx="0">
                  <c:v>729.78639573294686</c:v>
                </c:pt>
                <c:pt idx="1">
                  <c:v>1859.2408213716358</c:v>
                </c:pt>
                <c:pt idx="2">
                  <c:v>2688.8905318107991</c:v>
                </c:pt>
                <c:pt idx="3">
                  <c:v>3617.2047255608222</c:v>
                </c:pt>
                <c:pt idx="4">
                  <c:v>4366.2878322448341</c:v>
                </c:pt>
                <c:pt idx="5">
                  <c:v>5327.1559901171804</c:v>
                </c:pt>
                <c:pt idx="6">
                  <c:v>6338.0262760008563</c:v>
                </c:pt>
                <c:pt idx="7">
                  <c:v>7090.1473461850828</c:v>
                </c:pt>
                <c:pt idx="8">
                  <c:v>8222.5930603590823</c:v>
                </c:pt>
                <c:pt idx="9">
                  <c:v>9090.4948296171406</c:v>
                </c:pt>
                <c:pt idx="10">
                  <c:v>10169.990541914676</c:v>
                </c:pt>
                <c:pt idx="11">
                  <c:v>10885.465620459014</c:v>
                </c:pt>
                <c:pt idx="12">
                  <c:v>12029.323726861179</c:v>
                </c:pt>
                <c:pt idx="13">
                  <c:v>12791.73457496397</c:v>
                </c:pt>
                <c:pt idx="14">
                  <c:v>13664.940816027382</c:v>
                </c:pt>
                <c:pt idx="15">
                  <c:v>14254.804491468511</c:v>
                </c:pt>
                <c:pt idx="16">
                  <c:v>15264.571043575574</c:v>
                </c:pt>
                <c:pt idx="17">
                  <c:v>16092.157283372051</c:v>
                </c:pt>
                <c:pt idx="18">
                  <c:v>16903.5851461161</c:v>
                </c:pt>
                <c:pt idx="19">
                  <c:v>17668.796458764144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8DA-400F-B744-008E695A7220}"/>
            </c:ext>
          </c:extLst>
        </c:ser>
        <c:ser>
          <c:idx val="2"/>
          <c:order val="2"/>
          <c:tx>
            <c:strRef>
              <c:f>ChartData_CumReward!$D$1</c:f>
              <c:strCache>
                <c:ptCount val="1"/>
                <c:pt idx="0">
                  <c:v>RRP_GRASP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ChartData_CumReward!$A$2:$A$21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ChartData_CumReward!$D$2:$D$21</c:f>
              <c:numCache>
                <c:formatCode>0.000</c:formatCode>
                <c:ptCount val="20"/>
                <c:pt idx="0">
                  <c:v>485.22813291255039</c:v>
                </c:pt>
                <c:pt idx="1">
                  <c:v>1614.2241980417414</c:v>
                </c:pt>
                <c:pt idx="2">
                  <c:v>2424.8636634952454</c:v>
                </c:pt>
                <c:pt idx="3">
                  <c:v>3344.5227636600971</c:v>
                </c:pt>
                <c:pt idx="4">
                  <c:v>4242.9441327642435</c:v>
                </c:pt>
                <c:pt idx="5">
                  <c:v>5039.6846447485814</c:v>
                </c:pt>
                <c:pt idx="6">
                  <c:v>6226.8344295596153</c:v>
                </c:pt>
                <c:pt idx="7">
                  <c:v>7158.8025955854519</c:v>
                </c:pt>
                <c:pt idx="8">
                  <c:v>7854.870591013183</c:v>
                </c:pt>
                <c:pt idx="9">
                  <c:v>8723.0242331412392</c:v>
                </c:pt>
                <c:pt idx="10">
                  <c:v>9724.5750134450354</c:v>
                </c:pt>
                <c:pt idx="11">
                  <c:v>10966.511469031506</c:v>
                </c:pt>
                <c:pt idx="12">
                  <c:v>11868.85012811643</c:v>
                </c:pt>
                <c:pt idx="13">
                  <c:v>12708.877618068174</c:v>
                </c:pt>
                <c:pt idx="14">
                  <c:v>13610.612751370869</c:v>
                </c:pt>
                <c:pt idx="15">
                  <c:v>14709.940012156279</c:v>
                </c:pt>
                <c:pt idx="16">
                  <c:v>15712.189509305814</c:v>
                </c:pt>
                <c:pt idx="17">
                  <c:v>16643.743725485823</c:v>
                </c:pt>
                <c:pt idx="18">
                  <c:v>17266.841214749038</c:v>
                </c:pt>
                <c:pt idx="19">
                  <c:v>18179.119415068293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8DA-400F-B744-008E695A7220}"/>
            </c:ext>
          </c:extLst>
        </c:ser>
        <c:ser>
          <c:idx val="3"/>
          <c:order val="3"/>
          <c:tx>
            <c:strRef>
              <c:f>ChartData_CumReward!$E$1</c:f>
              <c:strCache>
                <c:ptCount val="1"/>
                <c:pt idx="0">
                  <c:v>RRP_GA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ChartData_CumReward!$A$2:$A$21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ChartData_CumReward!$E$2:$E$21</c:f>
              <c:numCache>
                <c:formatCode>0.000</c:formatCode>
                <c:ptCount val="20"/>
                <c:pt idx="0">
                  <c:v>737.15757527606274</c:v>
                </c:pt>
                <c:pt idx="1">
                  <c:v>1918.4437985108557</c:v>
                </c:pt>
                <c:pt idx="2">
                  <c:v>2802.5086149089871</c:v>
                </c:pt>
                <c:pt idx="3">
                  <c:v>3724.4160531098328</c:v>
                </c:pt>
                <c:pt idx="4">
                  <c:v>4835.6825931219737</c:v>
                </c:pt>
                <c:pt idx="5">
                  <c:v>5943.9658454768378</c:v>
                </c:pt>
                <c:pt idx="6">
                  <c:v>7119.6809147148715</c:v>
                </c:pt>
                <c:pt idx="7">
                  <c:v>7920.0735722205891</c:v>
                </c:pt>
                <c:pt idx="8">
                  <c:v>8733.7830832232703</c:v>
                </c:pt>
                <c:pt idx="9">
                  <c:v>9890.3143351510298</c:v>
                </c:pt>
                <c:pt idx="10">
                  <c:v>10888.330910991077</c:v>
                </c:pt>
                <c:pt idx="11">
                  <c:v>11999.350508760323</c:v>
                </c:pt>
                <c:pt idx="12">
                  <c:v>13194.127714998533</c:v>
                </c:pt>
                <c:pt idx="13">
                  <c:v>14228.467146620498</c:v>
                </c:pt>
                <c:pt idx="14">
                  <c:v>15173.587076108735</c:v>
                </c:pt>
                <c:pt idx="15">
                  <c:v>16134.371552302431</c:v>
                </c:pt>
                <c:pt idx="16">
                  <c:v>17259.950436745061</c:v>
                </c:pt>
                <c:pt idx="17">
                  <c:v>18307.94489102592</c:v>
                </c:pt>
                <c:pt idx="18">
                  <c:v>19398.298592378404</c:v>
                </c:pt>
                <c:pt idx="19">
                  <c:v>20403.336193797335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8DA-400F-B744-008E695A7220}"/>
            </c:ext>
          </c:extLst>
        </c:ser>
        <c:ser>
          <c:idx val="4"/>
          <c:order val="4"/>
          <c:tx>
            <c:strRef>
              <c:f>ChartData_CumReward!$F$1</c:f>
              <c:strCache>
                <c:ptCount val="1"/>
                <c:pt idx="0">
                  <c:v>RRP_COLUMN_GENERATION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ChartData_CumReward!$A$2:$A$21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ChartData_CumReward!$F$2:$F$21</c:f>
              <c:numCache>
                <c:formatCode>0.000</c:formatCode>
                <c:ptCount val="20"/>
                <c:pt idx="0">
                  <c:v>931.73030508598356</c:v>
                </c:pt>
                <c:pt idx="1">
                  <c:v>2103.9447095256915</c:v>
                </c:pt>
                <c:pt idx="2">
                  <c:v>3068.8026851989903</c:v>
                </c:pt>
                <c:pt idx="3">
                  <c:v>4117.9451402141476</c:v>
                </c:pt>
                <c:pt idx="4">
                  <c:v>5158.9543977904405</c:v>
                </c:pt>
                <c:pt idx="5">
                  <c:v>6387.2313746082264</c:v>
                </c:pt>
                <c:pt idx="6">
                  <c:v>7539.9562693960979</c:v>
                </c:pt>
                <c:pt idx="7">
                  <c:v>8558.7873852770244</c:v>
                </c:pt>
                <c:pt idx="8">
                  <c:v>9570.0419018662997</c:v>
                </c:pt>
                <c:pt idx="9">
                  <c:v>10603.666553988864</c:v>
                </c:pt>
                <c:pt idx="10">
                  <c:v>11759.955605092797</c:v>
                </c:pt>
                <c:pt idx="11">
                  <c:v>12775.171442021188</c:v>
                </c:pt>
                <c:pt idx="12">
                  <c:v>13981.93025564727</c:v>
                </c:pt>
                <c:pt idx="13">
                  <c:v>15037.359055035078</c:v>
                </c:pt>
                <c:pt idx="14">
                  <c:v>16072.377822911218</c:v>
                </c:pt>
                <c:pt idx="15">
                  <c:v>16998.898600238412</c:v>
                </c:pt>
                <c:pt idx="16">
                  <c:v>18106.141619459624</c:v>
                </c:pt>
                <c:pt idx="17">
                  <c:v>19213.287024708716</c:v>
                </c:pt>
                <c:pt idx="18">
                  <c:v>20288.809561245682</c:v>
                </c:pt>
                <c:pt idx="19">
                  <c:v>21154.235011022669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8DA-400F-B744-008E695A7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00" sourceLinked="1"/>
        <c:majorTickMark val="none"/>
        <c:minorTickMark val="none"/>
        <c:tickLblPos val="nextTo"/>
        <c:spPr>
          <a:ln w="9525">
            <a:noFill/>
          </a:ln>
        </c:sp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五种算法在</a:t>
            </a:r>
            <a:r>
              <a:rPr lang="en-US" altLang="zh-CN"/>
              <a:t>20</a:t>
            </a:r>
            <a:r>
              <a:rPr lang="zh-CN" altLang="en-US"/>
              <a:t>轮中的各类电芯重组总数量对比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ChartData_TierCells!$B$1</c:f>
              <c:strCache>
                <c:ptCount val="1"/>
                <c:pt idx="0">
                  <c:v>P1_cells_total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ChartData_TierCells!$A$2:$A$6</c:f>
              <c:strCache>
                <c:ptCount val="5"/>
                <c:pt idx="0">
                  <c:v>RRP_KMEANS</c:v>
                </c:pt>
                <c:pt idx="1">
                  <c:v>RRP_KMEANS_VNS</c:v>
                </c:pt>
                <c:pt idx="2">
                  <c:v>RRP_GRASP</c:v>
                </c:pt>
                <c:pt idx="3">
                  <c:v>RRP_GA</c:v>
                </c:pt>
                <c:pt idx="4">
                  <c:v>RRP_COLUMN_GENERATION</c:v>
                </c:pt>
              </c:strCache>
            </c:strRef>
          </c:cat>
          <c:val>
            <c:numRef>
              <c:f>ChartData_TierCells!$B$2:$B$6</c:f>
              <c:numCache>
                <c:formatCode>0.000</c:formatCode>
                <c:ptCount val="5"/>
                <c:pt idx="0">
                  <c:v>96</c:v>
                </c:pt>
                <c:pt idx="1">
                  <c:v>132</c:v>
                </c:pt>
                <c:pt idx="2">
                  <c:v>132</c:v>
                </c:pt>
                <c:pt idx="3">
                  <c:v>164</c:v>
                </c:pt>
                <c:pt idx="4">
                  <c:v>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1-4317-8660-AD2CDCB647F4}"/>
            </c:ext>
          </c:extLst>
        </c:ser>
        <c:ser>
          <c:idx val="1"/>
          <c:order val="1"/>
          <c:tx>
            <c:strRef>
              <c:f>ChartData_TierCells!$C$1</c:f>
              <c:strCache>
                <c:ptCount val="1"/>
                <c:pt idx="0">
                  <c:v>P2_cells_total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ChartData_TierCells!$A$2:$A$6</c:f>
              <c:strCache>
                <c:ptCount val="5"/>
                <c:pt idx="0">
                  <c:v>RRP_KMEANS</c:v>
                </c:pt>
                <c:pt idx="1">
                  <c:v>RRP_KMEANS_VNS</c:v>
                </c:pt>
                <c:pt idx="2">
                  <c:v>RRP_GRASP</c:v>
                </c:pt>
                <c:pt idx="3">
                  <c:v>RRP_GA</c:v>
                </c:pt>
                <c:pt idx="4">
                  <c:v>RRP_COLUMN_GENERATION</c:v>
                </c:pt>
              </c:strCache>
            </c:strRef>
          </c:cat>
          <c:val>
            <c:numRef>
              <c:f>ChartData_TierCells!$C$2:$C$6</c:f>
              <c:numCache>
                <c:formatCode>0.000</c:formatCode>
                <c:ptCount val="5"/>
                <c:pt idx="0">
                  <c:v>388</c:v>
                </c:pt>
                <c:pt idx="1">
                  <c:v>576</c:v>
                </c:pt>
                <c:pt idx="2">
                  <c:v>504</c:v>
                </c:pt>
                <c:pt idx="3">
                  <c:v>584</c:v>
                </c:pt>
                <c:pt idx="4">
                  <c:v>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C1-4317-8660-AD2CDCB647F4}"/>
            </c:ext>
          </c:extLst>
        </c:ser>
        <c:ser>
          <c:idx val="2"/>
          <c:order val="2"/>
          <c:tx>
            <c:strRef>
              <c:f>ChartData_TierCells!$D$1</c:f>
              <c:strCache>
                <c:ptCount val="1"/>
                <c:pt idx="0">
                  <c:v>P3_cells_total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ChartData_TierCells!$A$2:$A$6</c:f>
              <c:strCache>
                <c:ptCount val="5"/>
                <c:pt idx="0">
                  <c:v>RRP_KMEANS</c:v>
                </c:pt>
                <c:pt idx="1">
                  <c:v>RRP_KMEANS_VNS</c:v>
                </c:pt>
                <c:pt idx="2">
                  <c:v>RRP_GRASP</c:v>
                </c:pt>
                <c:pt idx="3">
                  <c:v>RRP_GA</c:v>
                </c:pt>
                <c:pt idx="4">
                  <c:v>RRP_COLUMN_GENERATION</c:v>
                </c:pt>
              </c:strCache>
            </c:strRef>
          </c:cat>
          <c:val>
            <c:numRef>
              <c:f>ChartData_TierCells!$D$2:$D$6</c:f>
              <c:numCache>
                <c:formatCode>0.000</c:formatCode>
                <c:ptCount val="5"/>
                <c:pt idx="0">
                  <c:v>520</c:v>
                </c:pt>
                <c:pt idx="1">
                  <c:v>528</c:v>
                </c:pt>
                <c:pt idx="2">
                  <c:v>772</c:v>
                </c:pt>
                <c:pt idx="3">
                  <c:v>732</c:v>
                </c:pt>
                <c:pt idx="4">
                  <c:v>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C1-4317-8660-AD2CDCB647F4}"/>
            </c:ext>
          </c:extLst>
        </c:ser>
        <c:ser>
          <c:idx val="3"/>
          <c:order val="3"/>
          <c:tx>
            <c:strRef>
              <c:f>ChartData_TierCells!$E$1</c:f>
              <c:strCache>
                <c:ptCount val="1"/>
                <c:pt idx="0">
                  <c:v>P0_cells_total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ChartData_TierCells!$A$2:$A$6</c:f>
              <c:strCache>
                <c:ptCount val="5"/>
                <c:pt idx="0">
                  <c:v>RRP_KMEANS</c:v>
                </c:pt>
                <c:pt idx="1">
                  <c:v>RRP_KMEANS_VNS</c:v>
                </c:pt>
                <c:pt idx="2">
                  <c:v>RRP_GRASP</c:v>
                </c:pt>
                <c:pt idx="3">
                  <c:v>RRP_GA</c:v>
                </c:pt>
                <c:pt idx="4">
                  <c:v>RRP_COLUMN_GENERATION</c:v>
                </c:pt>
              </c:strCache>
            </c:strRef>
          </c:cat>
          <c:val>
            <c:numRef>
              <c:f>ChartData_TierCells!$E$2:$E$6</c:f>
              <c:numCache>
                <c:formatCode>0.000</c:formatCode>
                <c:ptCount val="5"/>
                <c:pt idx="0">
                  <c:v>420</c:v>
                </c:pt>
                <c:pt idx="1">
                  <c:v>232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C1-4317-8660-AD2CDCB647F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五种算法每轮运行时间对比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ChartData_Runtime!$B$1</c:f>
              <c:strCache>
                <c:ptCount val="1"/>
                <c:pt idx="0">
                  <c:v>RRP_KMEANS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ChartData_Runtime!$A$2:$A$21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ChartData_Runtime!$B$2:$B$21</c:f>
              <c:numCache>
                <c:formatCode>0.000</c:formatCode>
                <c:ptCount val="20"/>
                <c:pt idx="0">
                  <c:v>0.13433110000914891</c:v>
                </c:pt>
                <c:pt idx="1">
                  <c:v>0.12143500000820499</c:v>
                </c:pt>
                <c:pt idx="2">
                  <c:v>6.0839300000225187E-2</c:v>
                </c:pt>
                <c:pt idx="3">
                  <c:v>0.17406800000753719</c:v>
                </c:pt>
                <c:pt idx="4">
                  <c:v>0.11558610000065531</c:v>
                </c:pt>
                <c:pt idx="5">
                  <c:v>0.17988159999367781</c:v>
                </c:pt>
                <c:pt idx="6">
                  <c:v>0.21767719999479601</c:v>
                </c:pt>
                <c:pt idx="7">
                  <c:v>0.1006785000063246</c:v>
                </c:pt>
                <c:pt idx="8">
                  <c:v>0.14604589999362361</c:v>
                </c:pt>
                <c:pt idx="9">
                  <c:v>0.11622680000436959</c:v>
                </c:pt>
                <c:pt idx="10">
                  <c:v>9.5026499999221414E-2</c:v>
                </c:pt>
                <c:pt idx="11">
                  <c:v>0.16840280000178609</c:v>
                </c:pt>
                <c:pt idx="12">
                  <c:v>0.10133489999861919</c:v>
                </c:pt>
                <c:pt idx="13">
                  <c:v>0.16203150000364991</c:v>
                </c:pt>
                <c:pt idx="14">
                  <c:v>0.19281829999818001</c:v>
                </c:pt>
                <c:pt idx="15">
                  <c:v>6.2107100005960092E-2</c:v>
                </c:pt>
                <c:pt idx="16">
                  <c:v>0.1324344000022393</c:v>
                </c:pt>
                <c:pt idx="17">
                  <c:v>9.8375799992936663E-2</c:v>
                </c:pt>
                <c:pt idx="18">
                  <c:v>0.1698866999940947</c:v>
                </c:pt>
                <c:pt idx="19">
                  <c:v>9.5676299999468029E-2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51-464B-8FED-9AD8147BAEF1}"/>
            </c:ext>
          </c:extLst>
        </c:ser>
        <c:ser>
          <c:idx val="1"/>
          <c:order val="1"/>
          <c:tx>
            <c:strRef>
              <c:f>ChartData_Runtime!$C$1</c:f>
              <c:strCache>
                <c:ptCount val="1"/>
                <c:pt idx="0">
                  <c:v>RRP_KMEANS_VNS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ChartData_Runtime!$A$2:$A$21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ChartData_Runtime!$C$2:$C$21</c:f>
              <c:numCache>
                <c:formatCode>0.000</c:formatCode>
                <c:ptCount val="20"/>
                <c:pt idx="0">
                  <c:v>0.34561449999455363</c:v>
                </c:pt>
                <c:pt idx="1">
                  <c:v>0.62302150001050904</c:v>
                </c:pt>
                <c:pt idx="2">
                  <c:v>0.55620279999857303</c:v>
                </c:pt>
                <c:pt idx="3">
                  <c:v>0.65071330001228489</c:v>
                </c:pt>
                <c:pt idx="4">
                  <c:v>0.64561980000871699</c:v>
                </c:pt>
                <c:pt idx="5">
                  <c:v>0.74512229999527335</c:v>
                </c:pt>
                <c:pt idx="6">
                  <c:v>0.79245359999185894</c:v>
                </c:pt>
                <c:pt idx="7">
                  <c:v>0.78346629999577999</c:v>
                </c:pt>
                <c:pt idx="8">
                  <c:v>0.81114350000279956</c:v>
                </c:pt>
                <c:pt idx="9">
                  <c:v>0.99240000000281725</c:v>
                </c:pt>
                <c:pt idx="10">
                  <c:v>1.2966200000082611</c:v>
                </c:pt>
                <c:pt idx="11">
                  <c:v>0.76132499999948777</c:v>
                </c:pt>
                <c:pt idx="12">
                  <c:v>0.9682427999941865</c:v>
                </c:pt>
                <c:pt idx="13">
                  <c:v>1.25057379998907</c:v>
                </c:pt>
                <c:pt idx="14">
                  <c:v>1.1228483000013509</c:v>
                </c:pt>
                <c:pt idx="15">
                  <c:v>1.064143099996727</c:v>
                </c:pt>
                <c:pt idx="16">
                  <c:v>1.2797804000001629</c:v>
                </c:pt>
                <c:pt idx="17">
                  <c:v>1.0352993999986211</c:v>
                </c:pt>
                <c:pt idx="18">
                  <c:v>1.172690599996713</c:v>
                </c:pt>
                <c:pt idx="19">
                  <c:v>1.2923898000008189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51-464B-8FED-9AD8147BAEF1}"/>
            </c:ext>
          </c:extLst>
        </c:ser>
        <c:ser>
          <c:idx val="2"/>
          <c:order val="2"/>
          <c:tx>
            <c:strRef>
              <c:f>ChartData_Runtime!$D$1</c:f>
              <c:strCache>
                <c:ptCount val="1"/>
                <c:pt idx="0">
                  <c:v>RRP_GRASP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ChartData_Runtime!$A$2:$A$21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ChartData_Runtime!$D$2:$D$21</c:f>
              <c:numCache>
                <c:formatCode>0.000</c:formatCode>
                <c:ptCount val="20"/>
                <c:pt idx="0">
                  <c:v>4.3470270999969216</c:v>
                </c:pt>
                <c:pt idx="1">
                  <c:v>5.7098663999931887</c:v>
                </c:pt>
                <c:pt idx="2">
                  <c:v>13.287721899992899</c:v>
                </c:pt>
                <c:pt idx="3">
                  <c:v>21.56027010000253</c:v>
                </c:pt>
                <c:pt idx="4">
                  <c:v>25.801190099999079</c:v>
                </c:pt>
                <c:pt idx="5">
                  <c:v>31.924383400008079</c:v>
                </c:pt>
                <c:pt idx="6">
                  <c:v>25.427080699999351</c:v>
                </c:pt>
                <c:pt idx="7">
                  <c:v>40.627208000005339</c:v>
                </c:pt>
                <c:pt idx="8">
                  <c:v>47.816438299996662</c:v>
                </c:pt>
                <c:pt idx="9">
                  <c:v>59.111952199993539</c:v>
                </c:pt>
                <c:pt idx="10">
                  <c:v>61.808197899998049</c:v>
                </c:pt>
                <c:pt idx="11">
                  <c:v>60.84674220001034</c:v>
                </c:pt>
                <c:pt idx="12">
                  <c:v>74.068249999996624</c:v>
                </c:pt>
                <c:pt idx="13">
                  <c:v>78.484622799995122</c:v>
                </c:pt>
                <c:pt idx="14">
                  <c:v>83.398936000012327</c:v>
                </c:pt>
                <c:pt idx="15">
                  <c:v>82.530432500003371</c:v>
                </c:pt>
                <c:pt idx="16">
                  <c:v>82.423209800006589</c:v>
                </c:pt>
                <c:pt idx="17">
                  <c:v>89.113480400003027</c:v>
                </c:pt>
                <c:pt idx="18">
                  <c:v>100.209614700012</c:v>
                </c:pt>
                <c:pt idx="19">
                  <c:v>107.88006380001021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251-464B-8FED-9AD8147BAEF1}"/>
            </c:ext>
          </c:extLst>
        </c:ser>
        <c:ser>
          <c:idx val="3"/>
          <c:order val="3"/>
          <c:tx>
            <c:strRef>
              <c:f>ChartData_Runtime!$E$1</c:f>
              <c:strCache>
                <c:ptCount val="1"/>
                <c:pt idx="0">
                  <c:v>RRP_GA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ChartData_Runtime!$A$2:$A$21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ChartData_Runtime!$E$2:$E$21</c:f>
              <c:numCache>
                <c:formatCode>0.000</c:formatCode>
                <c:ptCount val="20"/>
                <c:pt idx="0">
                  <c:v>4.0831760000000941</c:v>
                </c:pt>
                <c:pt idx="1">
                  <c:v>1.874379199987743</c:v>
                </c:pt>
                <c:pt idx="2">
                  <c:v>14.3852704000019</c:v>
                </c:pt>
                <c:pt idx="3">
                  <c:v>21.799088499989011</c:v>
                </c:pt>
                <c:pt idx="4">
                  <c:v>4.6027505999954883</c:v>
                </c:pt>
                <c:pt idx="5">
                  <c:v>34.056099900000852</c:v>
                </c:pt>
                <c:pt idx="6">
                  <c:v>4.9611791999923298</c:v>
                </c:pt>
                <c:pt idx="7">
                  <c:v>42.567526899991208</c:v>
                </c:pt>
                <c:pt idx="8">
                  <c:v>52.640713799992227</c:v>
                </c:pt>
                <c:pt idx="9">
                  <c:v>8.5429385000024922</c:v>
                </c:pt>
                <c:pt idx="10">
                  <c:v>75.095165700011421</c:v>
                </c:pt>
                <c:pt idx="11">
                  <c:v>82.060211699994397</c:v>
                </c:pt>
                <c:pt idx="12">
                  <c:v>88.462960400007432</c:v>
                </c:pt>
                <c:pt idx="13">
                  <c:v>96.81736980000278</c:v>
                </c:pt>
                <c:pt idx="14">
                  <c:v>103.95454530000281</c:v>
                </c:pt>
                <c:pt idx="15">
                  <c:v>118.1221476000064</c:v>
                </c:pt>
                <c:pt idx="16">
                  <c:v>130.89503980000151</c:v>
                </c:pt>
                <c:pt idx="17">
                  <c:v>142.53227580001109</c:v>
                </c:pt>
                <c:pt idx="18">
                  <c:v>149.51208699999549</c:v>
                </c:pt>
                <c:pt idx="19">
                  <c:v>159.41619759998869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251-464B-8FED-9AD8147BAEF1}"/>
            </c:ext>
          </c:extLst>
        </c:ser>
        <c:ser>
          <c:idx val="4"/>
          <c:order val="4"/>
          <c:tx>
            <c:strRef>
              <c:f>ChartData_Runtime!$F$1</c:f>
              <c:strCache>
                <c:ptCount val="1"/>
                <c:pt idx="0">
                  <c:v>RRP_COLUMN_GENERATION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ChartData_Runtime!$A$2:$A$21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ChartData_Runtime!$F$2:$F$21</c:f>
              <c:numCache>
                <c:formatCode>0.000</c:formatCode>
                <c:ptCount val="20"/>
                <c:pt idx="0">
                  <c:v>3.7565731000067899</c:v>
                </c:pt>
                <c:pt idx="1">
                  <c:v>4.5933176000107778</c:v>
                </c:pt>
                <c:pt idx="2">
                  <c:v>8.8709478000091622</c:v>
                </c:pt>
                <c:pt idx="3">
                  <c:v>50.444014599997899</c:v>
                </c:pt>
                <c:pt idx="4">
                  <c:v>72.249734900004114</c:v>
                </c:pt>
                <c:pt idx="5">
                  <c:v>13.25939919998928</c:v>
                </c:pt>
                <c:pt idx="6">
                  <c:v>38.365345899990643</c:v>
                </c:pt>
                <c:pt idx="7">
                  <c:v>16.122689299998459</c:v>
                </c:pt>
                <c:pt idx="8">
                  <c:v>12.3711040999915</c:v>
                </c:pt>
                <c:pt idx="9">
                  <c:v>12.41795669999556</c:v>
                </c:pt>
                <c:pt idx="10">
                  <c:v>8.1961952999990899</c:v>
                </c:pt>
                <c:pt idx="11">
                  <c:v>10.3014863999997</c:v>
                </c:pt>
                <c:pt idx="12">
                  <c:v>12.240394899999959</c:v>
                </c:pt>
                <c:pt idx="13">
                  <c:v>7.0995718000049237</c:v>
                </c:pt>
                <c:pt idx="14">
                  <c:v>20.957238799994229</c:v>
                </c:pt>
                <c:pt idx="15">
                  <c:v>8.6108842999965418</c:v>
                </c:pt>
                <c:pt idx="16">
                  <c:v>13.00229230000696</c:v>
                </c:pt>
                <c:pt idx="17">
                  <c:v>35.450215399992892</c:v>
                </c:pt>
                <c:pt idx="18">
                  <c:v>9.9959315999876708</c:v>
                </c:pt>
                <c:pt idx="19">
                  <c:v>3.7095058000122658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251-464B-8FED-9AD8147BA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00" sourceLinked="1"/>
        <c:majorTickMark val="none"/>
        <c:minorTickMark val="none"/>
        <c:tickLblPos val="nextTo"/>
        <c:spPr>
          <a:ln w="9525">
            <a:noFill/>
          </a:ln>
        </c:spPr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304800</xdr:colOff>
      <xdr:row>25</xdr:row>
      <xdr:rowOff>104775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14</xdr:col>
      <xdr:colOff>285750</xdr:colOff>
      <xdr:row>47</xdr:row>
      <xdr:rowOff>133350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14</xdr:col>
      <xdr:colOff>314325</xdr:colOff>
      <xdr:row>25</xdr:row>
      <xdr:rowOff>104775</xdr:rowOff>
    </xdr:from>
    <xdr:ext cx="648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defaultRowHeight="13.5" x14ac:dyDescent="0.15"/>
  <cols>
    <col min="1" max="1" width="60" customWidth="1"/>
    <col min="2" max="2" width="25" customWidth="1"/>
  </cols>
  <sheetData>
    <row r="1" spans="1:2" ht="18.75" x14ac:dyDescent="0.25">
      <c r="A1" s="1" t="s">
        <v>0</v>
      </c>
    </row>
    <row r="3" spans="1:2" x14ac:dyDescent="0.15">
      <c r="A3" t="s">
        <v>1</v>
      </c>
    </row>
    <row r="4" spans="1:2" x14ac:dyDescent="0.15">
      <c r="A4" t="s">
        <v>2</v>
      </c>
    </row>
    <row r="5" spans="1:2" x14ac:dyDescent="0.15">
      <c r="A5" t="s">
        <v>3</v>
      </c>
    </row>
    <row r="6" spans="1:2" x14ac:dyDescent="0.15">
      <c r="A6" t="s">
        <v>4</v>
      </c>
    </row>
    <row r="7" spans="1:2" x14ac:dyDescent="0.15">
      <c r="A7" t="s">
        <v>5</v>
      </c>
    </row>
    <row r="8" spans="1:2" x14ac:dyDescent="0.15">
      <c r="A8" t="s">
        <v>6</v>
      </c>
    </row>
    <row r="10" spans="1:2" x14ac:dyDescent="0.15">
      <c r="A10" t="s">
        <v>7</v>
      </c>
    </row>
    <row r="11" spans="1:2" x14ac:dyDescent="0.15">
      <c r="A11" t="s">
        <v>8</v>
      </c>
      <c r="B11" t="s">
        <v>9</v>
      </c>
    </row>
    <row r="12" spans="1:2" x14ac:dyDescent="0.15">
      <c r="A12" t="s">
        <v>10</v>
      </c>
      <c r="B12" t="s">
        <v>11</v>
      </c>
    </row>
    <row r="13" spans="1:2" x14ac:dyDescent="0.15">
      <c r="A13" t="s">
        <v>12</v>
      </c>
      <c r="B13" t="s">
        <v>13</v>
      </c>
    </row>
    <row r="14" spans="1:2" x14ac:dyDescent="0.15">
      <c r="A14" t="s">
        <v>14</v>
      </c>
      <c r="B14" t="s">
        <v>15</v>
      </c>
    </row>
    <row r="15" spans="1:2" x14ac:dyDescent="0.15">
      <c r="A15" t="s">
        <v>16</v>
      </c>
      <c r="B15" t="s">
        <v>17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"/>
  <sheetViews>
    <sheetView workbookViewId="0">
      <pane ySplit="1" topLeftCell="A2" activePane="bottomLeft" state="frozen"/>
      <selection pane="bottomLeft"/>
    </sheetView>
  </sheetViews>
  <sheetFormatPr defaultRowHeight="13.5" x14ac:dyDescent="0.15"/>
  <cols>
    <col min="1" max="1" width="8" customWidth="1"/>
    <col min="2" max="2" width="24" customWidth="1"/>
    <col min="3" max="3" width="20" customWidth="1"/>
    <col min="4" max="5" width="12" customWidth="1"/>
    <col min="6" max="6" width="14" customWidth="1"/>
    <col min="7" max="7" width="18" customWidth="1"/>
    <col min="8" max="8" width="12" customWidth="1"/>
    <col min="9" max="9" width="10" customWidth="1"/>
    <col min="10" max="10" width="12" customWidth="1"/>
    <col min="11" max="12" width="14" customWidth="1"/>
    <col min="13" max="14" width="12" customWidth="1"/>
    <col min="15" max="15" width="16" customWidth="1"/>
    <col min="16" max="16" width="18" customWidth="1"/>
    <col min="17" max="24" width="10" customWidth="1"/>
    <col min="25" max="25" width="28" customWidth="1"/>
    <col min="26" max="26" width="12" customWidth="1"/>
  </cols>
  <sheetData>
    <row r="1" spans="1:26" x14ac:dyDescent="0.1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</row>
    <row r="2" spans="1:26" x14ac:dyDescent="0.15">
      <c r="A2">
        <v>1</v>
      </c>
      <c r="B2" t="s">
        <v>8</v>
      </c>
      <c r="C2" t="s">
        <v>9</v>
      </c>
      <c r="D2">
        <v>100</v>
      </c>
      <c r="E2">
        <v>100</v>
      </c>
      <c r="F2" s="3">
        <v>598.85191410782954</v>
      </c>
      <c r="G2" s="3">
        <v>598.85191410782954</v>
      </c>
      <c r="H2" s="3">
        <v>0.13433110000914891</v>
      </c>
      <c r="I2">
        <v>18</v>
      </c>
      <c r="J2">
        <v>72</v>
      </c>
      <c r="K2">
        <v>28</v>
      </c>
      <c r="L2" s="4">
        <v>0.72</v>
      </c>
      <c r="M2" s="3">
        <v>7.9053428769078264</v>
      </c>
      <c r="N2" s="3">
        <v>155.85847292172451</v>
      </c>
      <c r="O2" s="3">
        <v>33.26955078376831</v>
      </c>
      <c r="P2" s="4">
        <v>0.72222222222222221</v>
      </c>
      <c r="Q2">
        <v>0</v>
      </c>
      <c r="R2">
        <v>5</v>
      </c>
      <c r="S2">
        <v>8</v>
      </c>
      <c r="T2">
        <v>5</v>
      </c>
      <c r="U2">
        <v>0</v>
      </c>
      <c r="V2">
        <v>20</v>
      </c>
      <c r="W2">
        <v>32</v>
      </c>
      <c r="X2">
        <v>20</v>
      </c>
      <c r="Y2" t="s">
        <v>44</v>
      </c>
    </row>
    <row r="3" spans="1:26" x14ac:dyDescent="0.15">
      <c r="A3">
        <v>1</v>
      </c>
      <c r="B3" t="s">
        <v>10</v>
      </c>
      <c r="C3" t="s">
        <v>11</v>
      </c>
      <c r="D3">
        <v>100</v>
      </c>
      <c r="E3">
        <v>100</v>
      </c>
      <c r="F3" s="3">
        <v>729.78639573294686</v>
      </c>
      <c r="G3" s="3">
        <v>729.78639573294686</v>
      </c>
      <c r="H3" s="3">
        <v>0.34561449999455363</v>
      </c>
      <c r="I3">
        <v>17</v>
      </c>
      <c r="J3">
        <v>68</v>
      </c>
      <c r="K3">
        <v>32</v>
      </c>
      <c r="L3" s="4">
        <v>0.68</v>
      </c>
      <c r="M3" s="3">
        <v>7.0839534431827236</v>
      </c>
      <c r="N3" s="3">
        <v>159.4031169055088</v>
      </c>
      <c r="O3" s="3">
        <v>42.928611513702762</v>
      </c>
      <c r="P3" s="4">
        <v>0.94117647058823528</v>
      </c>
      <c r="Q3">
        <v>0</v>
      </c>
      <c r="R3">
        <v>5</v>
      </c>
      <c r="S3">
        <v>11</v>
      </c>
      <c r="T3">
        <v>1</v>
      </c>
      <c r="U3">
        <v>0</v>
      </c>
      <c r="V3">
        <v>20</v>
      </c>
      <c r="W3">
        <v>44</v>
      </c>
      <c r="X3">
        <v>4</v>
      </c>
      <c r="Y3" t="s">
        <v>45</v>
      </c>
    </row>
    <row r="4" spans="1:26" x14ac:dyDescent="0.15">
      <c r="A4">
        <v>1</v>
      </c>
      <c r="B4" t="s">
        <v>12</v>
      </c>
      <c r="C4" t="s">
        <v>13</v>
      </c>
      <c r="D4">
        <v>100</v>
      </c>
      <c r="E4">
        <v>100</v>
      </c>
      <c r="F4" s="3">
        <v>485.22813291255039</v>
      </c>
      <c r="G4" s="3">
        <v>485.22813291255039</v>
      </c>
      <c r="H4" s="3">
        <v>4.3470270999969216</v>
      </c>
      <c r="I4">
        <v>10</v>
      </c>
      <c r="J4">
        <v>40</v>
      </c>
      <c r="K4">
        <v>60</v>
      </c>
      <c r="L4" s="4">
        <v>0.4</v>
      </c>
      <c r="M4" s="3">
        <v>12.954373417489929</v>
      </c>
      <c r="N4" s="3">
        <v>165.19874132835699</v>
      </c>
      <c r="O4" s="3">
        <v>48.522813291255041</v>
      </c>
      <c r="P4" s="4">
        <v>1</v>
      </c>
      <c r="Q4">
        <v>0</v>
      </c>
      <c r="R4">
        <v>5</v>
      </c>
      <c r="S4">
        <v>5</v>
      </c>
      <c r="T4">
        <v>0</v>
      </c>
      <c r="U4">
        <v>0</v>
      </c>
      <c r="V4">
        <v>20</v>
      </c>
      <c r="W4">
        <v>20</v>
      </c>
      <c r="X4">
        <v>0</v>
      </c>
      <c r="Y4" t="s">
        <v>46</v>
      </c>
    </row>
    <row r="5" spans="1:26" x14ac:dyDescent="0.15">
      <c r="A5">
        <v>1</v>
      </c>
      <c r="B5" t="s">
        <v>14</v>
      </c>
      <c r="C5" t="s">
        <v>15</v>
      </c>
      <c r="D5">
        <v>100</v>
      </c>
      <c r="E5">
        <v>100</v>
      </c>
      <c r="F5" s="3">
        <v>737.15757527606274</v>
      </c>
      <c r="G5" s="3">
        <v>737.15757527606274</v>
      </c>
      <c r="H5" s="3">
        <v>4.0831760000000941</v>
      </c>
      <c r="I5">
        <v>17</v>
      </c>
      <c r="J5">
        <v>68</v>
      </c>
      <c r="K5">
        <v>32</v>
      </c>
      <c r="L5" s="4">
        <v>0.68</v>
      </c>
      <c r="M5" s="3">
        <v>9.7461676145808518</v>
      </c>
      <c r="N5" s="3">
        <v>160.24668668573511</v>
      </c>
      <c r="O5" s="3">
        <v>43.36221031035663</v>
      </c>
      <c r="P5" s="4">
        <v>0.94117647058823528</v>
      </c>
      <c r="Q5">
        <v>0</v>
      </c>
      <c r="R5">
        <v>6</v>
      </c>
      <c r="S5">
        <v>10</v>
      </c>
      <c r="T5">
        <v>1</v>
      </c>
      <c r="U5">
        <v>0</v>
      </c>
      <c r="V5">
        <v>24</v>
      </c>
      <c r="W5">
        <v>40</v>
      </c>
      <c r="X5">
        <v>4</v>
      </c>
      <c r="Y5" t="s">
        <v>47</v>
      </c>
    </row>
    <row r="6" spans="1:26" x14ac:dyDescent="0.15">
      <c r="A6">
        <v>1</v>
      </c>
      <c r="B6" t="s">
        <v>16</v>
      </c>
      <c r="C6" t="s">
        <v>17</v>
      </c>
      <c r="D6">
        <v>100</v>
      </c>
      <c r="E6">
        <v>100</v>
      </c>
      <c r="F6" s="3">
        <v>931.73030508598356</v>
      </c>
      <c r="G6" s="3">
        <v>931.73030508598356</v>
      </c>
      <c r="H6" s="3">
        <v>3.7565731000067899</v>
      </c>
      <c r="I6">
        <v>18</v>
      </c>
      <c r="J6">
        <v>72</v>
      </c>
      <c r="K6">
        <v>28</v>
      </c>
      <c r="L6" s="4">
        <v>0.72</v>
      </c>
      <c r="M6" s="3">
        <v>9.807743879335165</v>
      </c>
      <c r="N6" s="3">
        <v>161.98865542953891</v>
      </c>
      <c r="O6" s="3">
        <v>51.76279472699909</v>
      </c>
      <c r="P6" s="4">
        <v>1</v>
      </c>
      <c r="Q6">
        <v>1</v>
      </c>
      <c r="R6">
        <v>8</v>
      </c>
      <c r="S6">
        <v>9</v>
      </c>
      <c r="T6">
        <v>0</v>
      </c>
      <c r="U6">
        <v>4</v>
      </c>
      <c r="V6">
        <v>32</v>
      </c>
      <c r="W6">
        <v>36</v>
      </c>
      <c r="X6">
        <v>0</v>
      </c>
      <c r="Y6" t="s">
        <v>48</v>
      </c>
      <c r="Z6">
        <v>1391</v>
      </c>
    </row>
    <row r="7" spans="1:26" x14ac:dyDescent="0.15">
      <c r="A7">
        <v>2</v>
      </c>
      <c r="B7" t="s">
        <v>8</v>
      </c>
      <c r="C7" t="s">
        <v>9</v>
      </c>
      <c r="D7">
        <v>100</v>
      </c>
      <c r="E7">
        <v>128</v>
      </c>
      <c r="F7" s="3">
        <v>638.2854515506848</v>
      </c>
      <c r="G7" s="3">
        <v>1237.137365658514</v>
      </c>
      <c r="H7" s="3">
        <v>0.12143500000820499</v>
      </c>
      <c r="I7">
        <v>17</v>
      </c>
      <c r="J7">
        <v>68</v>
      </c>
      <c r="K7">
        <v>60</v>
      </c>
      <c r="L7" s="4">
        <v>0.53125</v>
      </c>
      <c r="M7" s="3">
        <v>9.6134762881547431</v>
      </c>
      <c r="N7" s="3">
        <v>159.93893958122379</v>
      </c>
      <c r="O7" s="3">
        <v>37.546203032393223</v>
      </c>
      <c r="P7" s="4">
        <v>0.70588235294117652</v>
      </c>
      <c r="Q7">
        <v>1</v>
      </c>
      <c r="R7">
        <v>6</v>
      </c>
      <c r="S7">
        <v>5</v>
      </c>
      <c r="T7">
        <v>5</v>
      </c>
      <c r="U7">
        <v>4</v>
      </c>
      <c r="V7">
        <v>24</v>
      </c>
      <c r="W7">
        <v>20</v>
      </c>
      <c r="X7">
        <v>20</v>
      </c>
      <c r="Y7" t="s">
        <v>49</v>
      </c>
    </row>
    <row r="8" spans="1:26" x14ac:dyDescent="0.15">
      <c r="A8">
        <v>2</v>
      </c>
      <c r="B8" t="s">
        <v>10</v>
      </c>
      <c r="C8" t="s">
        <v>11</v>
      </c>
      <c r="D8">
        <v>100</v>
      </c>
      <c r="E8">
        <v>132</v>
      </c>
      <c r="F8" s="3">
        <v>1129.4544256386889</v>
      </c>
      <c r="G8" s="3">
        <v>1859.240821371636</v>
      </c>
      <c r="H8" s="3">
        <v>0.62302150001050904</v>
      </c>
      <c r="I8">
        <v>19</v>
      </c>
      <c r="J8">
        <v>76</v>
      </c>
      <c r="K8">
        <v>56</v>
      </c>
      <c r="L8" s="4">
        <v>0.5757575757575758</v>
      </c>
      <c r="M8" s="3">
        <v>8.4784815117169003</v>
      </c>
      <c r="N8" s="3">
        <v>167.40210750279149</v>
      </c>
      <c r="O8" s="3">
        <v>59.444969770457327</v>
      </c>
      <c r="P8" s="4">
        <v>1</v>
      </c>
      <c r="Q8">
        <v>3</v>
      </c>
      <c r="R8">
        <v>9</v>
      </c>
      <c r="S8">
        <v>7</v>
      </c>
      <c r="T8">
        <v>0</v>
      </c>
      <c r="U8">
        <v>12</v>
      </c>
      <c r="V8">
        <v>36</v>
      </c>
      <c r="W8">
        <v>28</v>
      </c>
      <c r="X8">
        <v>0</v>
      </c>
      <c r="Y8" t="s">
        <v>50</v>
      </c>
    </row>
    <row r="9" spans="1:26" x14ac:dyDescent="0.15">
      <c r="A9">
        <v>2</v>
      </c>
      <c r="B9" t="s">
        <v>12</v>
      </c>
      <c r="C9" t="s">
        <v>13</v>
      </c>
      <c r="D9">
        <v>100</v>
      </c>
      <c r="E9">
        <v>160</v>
      </c>
      <c r="F9" s="3">
        <v>1128.996065129191</v>
      </c>
      <c r="G9" s="3">
        <v>1614.2241980417409</v>
      </c>
      <c r="H9" s="3">
        <v>5.7098663999931887</v>
      </c>
      <c r="I9">
        <v>20</v>
      </c>
      <c r="J9">
        <v>80</v>
      </c>
      <c r="K9">
        <v>80</v>
      </c>
      <c r="L9" s="4">
        <v>0.5</v>
      </c>
      <c r="M9" s="3">
        <v>9.100393487080904</v>
      </c>
      <c r="N9" s="3">
        <v>167.75274906055489</v>
      </c>
      <c r="O9" s="3">
        <v>56.449803256459553</v>
      </c>
      <c r="P9" s="4">
        <v>1</v>
      </c>
      <c r="Q9">
        <v>3</v>
      </c>
      <c r="R9">
        <v>8</v>
      </c>
      <c r="S9">
        <v>9</v>
      </c>
      <c r="T9">
        <v>0</v>
      </c>
      <c r="U9">
        <v>12</v>
      </c>
      <c r="V9">
        <v>32</v>
      </c>
      <c r="W9">
        <v>36</v>
      </c>
      <c r="X9">
        <v>0</v>
      </c>
      <c r="Y9" t="s">
        <v>51</v>
      </c>
    </row>
    <row r="10" spans="1:26" x14ac:dyDescent="0.15">
      <c r="A10">
        <v>2</v>
      </c>
      <c r="B10" t="s">
        <v>14</v>
      </c>
      <c r="C10" t="s">
        <v>15</v>
      </c>
      <c r="D10">
        <v>100</v>
      </c>
      <c r="E10">
        <v>132</v>
      </c>
      <c r="F10" s="3">
        <v>1181.2862232347929</v>
      </c>
      <c r="G10" s="3">
        <v>1918.4437985108559</v>
      </c>
      <c r="H10" s="3">
        <v>1.874379199987743</v>
      </c>
      <c r="I10">
        <v>20</v>
      </c>
      <c r="J10">
        <v>80</v>
      </c>
      <c r="K10">
        <v>52</v>
      </c>
      <c r="L10" s="4">
        <v>0.60606060606060608</v>
      </c>
      <c r="M10" s="3">
        <v>6.8713776765207184</v>
      </c>
      <c r="N10" s="3">
        <v>166.3565880299619</v>
      </c>
      <c r="O10" s="3">
        <v>59.064311161739653</v>
      </c>
      <c r="P10" s="4">
        <v>1</v>
      </c>
      <c r="Q10">
        <v>3</v>
      </c>
      <c r="R10">
        <v>9</v>
      </c>
      <c r="S10">
        <v>8</v>
      </c>
      <c r="T10">
        <v>0</v>
      </c>
      <c r="U10">
        <v>12</v>
      </c>
      <c r="V10">
        <v>36</v>
      </c>
      <c r="W10">
        <v>32</v>
      </c>
      <c r="X10">
        <v>0</v>
      </c>
      <c r="Y10" t="s">
        <v>52</v>
      </c>
    </row>
    <row r="11" spans="1:26" x14ac:dyDescent="0.15">
      <c r="A11">
        <v>2</v>
      </c>
      <c r="B11" t="s">
        <v>16</v>
      </c>
      <c r="C11" t="s">
        <v>17</v>
      </c>
      <c r="D11">
        <v>100</v>
      </c>
      <c r="E11">
        <v>128</v>
      </c>
      <c r="F11" s="3">
        <v>1172.214404439708</v>
      </c>
      <c r="G11" s="3">
        <v>2103.944709525691</v>
      </c>
      <c r="H11" s="3">
        <v>4.5933176000107778</v>
      </c>
      <c r="I11">
        <v>20</v>
      </c>
      <c r="J11">
        <v>80</v>
      </c>
      <c r="K11">
        <v>48</v>
      </c>
      <c r="L11" s="4">
        <v>0.625</v>
      </c>
      <c r="M11" s="3">
        <v>7.7785595560291938</v>
      </c>
      <c r="N11" s="3">
        <v>164.61746389478299</v>
      </c>
      <c r="O11" s="3">
        <v>58.610720221985403</v>
      </c>
      <c r="P11" s="4">
        <v>1</v>
      </c>
      <c r="Q11">
        <v>3</v>
      </c>
      <c r="R11">
        <v>9</v>
      </c>
      <c r="S11">
        <v>8</v>
      </c>
      <c r="T11">
        <v>0</v>
      </c>
      <c r="U11">
        <v>12</v>
      </c>
      <c r="V11">
        <v>36</v>
      </c>
      <c r="W11">
        <v>32</v>
      </c>
      <c r="X11">
        <v>0</v>
      </c>
      <c r="Y11" t="s">
        <v>52</v>
      </c>
      <c r="Z11">
        <v>1689</v>
      </c>
    </row>
    <row r="12" spans="1:26" x14ac:dyDescent="0.15">
      <c r="A12">
        <v>3</v>
      </c>
      <c r="B12" t="s">
        <v>8</v>
      </c>
      <c r="C12" t="s">
        <v>9</v>
      </c>
      <c r="D12">
        <v>100</v>
      </c>
      <c r="E12">
        <v>160</v>
      </c>
      <c r="F12" s="3">
        <v>618.75278183573437</v>
      </c>
      <c r="G12" s="3">
        <v>1855.890147494249</v>
      </c>
      <c r="H12" s="3">
        <v>6.0839300000225187E-2</v>
      </c>
      <c r="I12">
        <v>19</v>
      </c>
      <c r="J12">
        <v>76</v>
      </c>
      <c r="K12">
        <v>84</v>
      </c>
      <c r="L12" s="4">
        <v>0.47499999999999998</v>
      </c>
      <c r="M12" s="3">
        <v>10.657601912027969</v>
      </c>
      <c r="N12" s="3">
        <v>157.6164356778558</v>
      </c>
      <c r="O12" s="3">
        <v>32.565935886091282</v>
      </c>
      <c r="P12" s="4">
        <v>0.63157894736842102</v>
      </c>
      <c r="Q12">
        <v>2</v>
      </c>
      <c r="R12">
        <v>4</v>
      </c>
      <c r="S12">
        <v>6</v>
      </c>
      <c r="T12">
        <v>7</v>
      </c>
      <c r="U12">
        <v>8</v>
      </c>
      <c r="V12">
        <v>16</v>
      </c>
      <c r="W12">
        <v>24</v>
      </c>
      <c r="X12">
        <v>28</v>
      </c>
      <c r="Y12" t="s">
        <v>53</v>
      </c>
    </row>
    <row r="13" spans="1:26" x14ac:dyDescent="0.15">
      <c r="A13">
        <v>3</v>
      </c>
      <c r="B13" t="s">
        <v>10</v>
      </c>
      <c r="C13" t="s">
        <v>11</v>
      </c>
      <c r="D13">
        <v>100</v>
      </c>
      <c r="E13">
        <v>156</v>
      </c>
      <c r="F13" s="3">
        <v>829.64971043916353</v>
      </c>
      <c r="G13" s="3">
        <v>2688.8905318108</v>
      </c>
      <c r="H13" s="3">
        <v>0.55620279999857303</v>
      </c>
      <c r="I13">
        <v>17</v>
      </c>
      <c r="J13">
        <v>68</v>
      </c>
      <c r="K13">
        <v>88</v>
      </c>
      <c r="L13" s="4">
        <v>0.4358974358974359</v>
      </c>
      <c r="M13" s="3">
        <v>7.1000340659807666</v>
      </c>
      <c r="N13" s="3">
        <v>161.09154142674529</v>
      </c>
      <c r="O13" s="3">
        <v>48.802924143480197</v>
      </c>
      <c r="P13" s="4">
        <v>1</v>
      </c>
      <c r="Q13">
        <v>0</v>
      </c>
      <c r="R13">
        <v>7</v>
      </c>
      <c r="S13">
        <v>10</v>
      </c>
      <c r="T13">
        <v>0</v>
      </c>
      <c r="U13">
        <v>0</v>
      </c>
      <c r="V13">
        <v>28</v>
      </c>
      <c r="W13">
        <v>40</v>
      </c>
      <c r="X13">
        <v>0</v>
      </c>
      <c r="Y13" t="s">
        <v>54</v>
      </c>
    </row>
    <row r="14" spans="1:26" x14ac:dyDescent="0.15">
      <c r="A14">
        <v>3</v>
      </c>
      <c r="B14" t="s">
        <v>12</v>
      </c>
      <c r="C14" t="s">
        <v>13</v>
      </c>
      <c r="D14">
        <v>100</v>
      </c>
      <c r="E14">
        <v>180</v>
      </c>
      <c r="F14" s="3">
        <v>810.63946545350427</v>
      </c>
      <c r="G14" s="3">
        <v>2424.863663495245</v>
      </c>
      <c r="H14" s="3">
        <v>13.287721899992899</v>
      </c>
      <c r="I14">
        <v>18</v>
      </c>
      <c r="J14">
        <v>72</v>
      </c>
      <c r="K14">
        <v>108</v>
      </c>
      <c r="L14" s="4">
        <v>0.4</v>
      </c>
      <c r="M14" s="3">
        <v>9.9289482829439706</v>
      </c>
      <c r="N14" s="3">
        <v>161.7054057907489</v>
      </c>
      <c r="O14" s="3">
        <v>45.035525858528018</v>
      </c>
      <c r="P14" s="4">
        <v>1</v>
      </c>
      <c r="Q14">
        <v>0</v>
      </c>
      <c r="R14">
        <v>6</v>
      </c>
      <c r="S14">
        <v>12</v>
      </c>
      <c r="T14">
        <v>0</v>
      </c>
      <c r="U14">
        <v>0</v>
      </c>
      <c r="V14">
        <v>24</v>
      </c>
      <c r="W14">
        <v>48</v>
      </c>
      <c r="X14">
        <v>0</v>
      </c>
      <c r="Y14" t="s">
        <v>55</v>
      </c>
    </row>
    <row r="15" spans="1:26" x14ac:dyDescent="0.15">
      <c r="A15">
        <v>3</v>
      </c>
      <c r="B15" t="s">
        <v>14</v>
      </c>
      <c r="C15" t="s">
        <v>15</v>
      </c>
      <c r="D15">
        <v>100</v>
      </c>
      <c r="E15">
        <v>152</v>
      </c>
      <c r="F15" s="3">
        <v>884.06481639813137</v>
      </c>
      <c r="G15" s="3">
        <v>2802.5086149089871</v>
      </c>
      <c r="H15" s="3">
        <v>14.3852704000019</v>
      </c>
      <c r="I15">
        <v>18</v>
      </c>
      <c r="J15">
        <v>72</v>
      </c>
      <c r="K15">
        <v>80</v>
      </c>
      <c r="L15" s="4">
        <v>0.47368421052631582</v>
      </c>
      <c r="M15" s="3">
        <v>8.4372426224298511</v>
      </c>
      <c r="N15" s="3">
        <v>160.61886836362419</v>
      </c>
      <c r="O15" s="3">
        <v>49.114712022118411</v>
      </c>
      <c r="P15" s="4">
        <v>1</v>
      </c>
      <c r="Q15">
        <v>1</v>
      </c>
      <c r="R15">
        <v>6</v>
      </c>
      <c r="S15">
        <v>11</v>
      </c>
      <c r="T15">
        <v>0</v>
      </c>
      <c r="U15">
        <v>4</v>
      </c>
      <c r="V15">
        <v>24</v>
      </c>
      <c r="W15">
        <v>44</v>
      </c>
      <c r="X15">
        <v>0</v>
      </c>
      <c r="Y15" t="s">
        <v>56</v>
      </c>
    </row>
    <row r="16" spans="1:26" x14ac:dyDescent="0.15">
      <c r="A16">
        <v>3</v>
      </c>
      <c r="B16" t="s">
        <v>16</v>
      </c>
      <c r="C16" t="s">
        <v>17</v>
      </c>
      <c r="D16">
        <v>100</v>
      </c>
      <c r="E16">
        <v>148</v>
      </c>
      <c r="F16" s="3">
        <v>964.85797567329882</v>
      </c>
      <c r="G16" s="3">
        <v>3068.8026851989898</v>
      </c>
      <c r="H16" s="3">
        <v>8.8709478000091622</v>
      </c>
      <c r="I16">
        <v>19</v>
      </c>
      <c r="J16">
        <v>76</v>
      </c>
      <c r="K16">
        <v>72</v>
      </c>
      <c r="L16" s="4">
        <v>0.51351351351351349</v>
      </c>
      <c r="M16" s="3">
        <v>6.8570551922843253</v>
      </c>
      <c r="N16" s="3">
        <v>160.66767313443091</v>
      </c>
      <c r="O16" s="3">
        <v>50.781998719647312</v>
      </c>
      <c r="P16" s="4">
        <v>1</v>
      </c>
      <c r="Q16">
        <v>1</v>
      </c>
      <c r="R16">
        <v>7</v>
      </c>
      <c r="S16">
        <v>11</v>
      </c>
      <c r="T16">
        <v>0</v>
      </c>
      <c r="U16">
        <v>4</v>
      </c>
      <c r="V16">
        <v>28</v>
      </c>
      <c r="W16">
        <v>44</v>
      </c>
      <c r="X16">
        <v>0</v>
      </c>
      <c r="Y16" t="s">
        <v>57</v>
      </c>
      <c r="Z16">
        <v>1888</v>
      </c>
    </row>
    <row r="17" spans="1:26" x14ac:dyDescent="0.15">
      <c r="A17">
        <v>4</v>
      </c>
      <c r="B17" t="s">
        <v>8</v>
      </c>
      <c r="C17" t="s">
        <v>9</v>
      </c>
      <c r="D17">
        <v>100</v>
      </c>
      <c r="E17">
        <v>184</v>
      </c>
      <c r="F17" s="3">
        <v>576.12259688601523</v>
      </c>
      <c r="G17" s="3">
        <v>2432.0127443802639</v>
      </c>
      <c r="H17" s="3">
        <v>0.17406800000753719</v>
      </c>
      <c r="I17">
        <v>20</v>
      </c>
      <c r="J17">
        <v>80</v>
      </c>
      <c r="K17">
        <v>104</v>
      </c>
      <c r="L17" s="4">
        <v>0.43478260869565222</v>
      </c>
      <c r="M17" s="3">
        <v>8.3877403113984688</v>
      </c>
      <c r="N17" s="3">
        <v>153.5031049481893</v>
      </c>
      <c r="O17" s="3">
        <v>28.806129844300759</v>
      </c>
      <c r="P17" s="4">
        <v>0.6</v>
      </c>
      <c r="Q17">
        <v>1</v>
      </c>
      <c r="R17">
        <v>4</v>
      </c>
      <c r="S17">
        <v>7</v>
      </c>
      <c r="T17">
        <v>8</v>
      </c>
      <c r="U17">
        <v>4</v>
      </c>
      <c r="V17">
        <v>16</v>
      </c>
      <c r="W17">
        <v>28</v>
      </c>
      <c r="X17">
        <v>32</v>
      </c>
      <c r="Y17" t="s">
        <v>58</v>
      </c>
    </row>
    <row r="18" spans="1:26" x14ac:dyDescent="0.15">
      <c r="A18">
        <v>4</v>
      </c>
      <c r="B18" t="s">
        <v>10</v>
      </c>
      <c r="C18" t="s">
        <v>11</v>
      </c>
      <c r="D18">
        <v>100</v>
      </c>
      <c r="E18">
        <v>188</v>
      </c>
      <c r="F18" s="3">
        <v>928.31419375002292</v>
      </c>
      <c r="G18" s="3">
        <v>3617.2047255608231</v>
      </c>
      <c r="H18" s="3">
        <v>0.65071330001228489</v>
      </c>
      <c r="I18">
        <v>19</v>
      </c>
      <c r="J18">
        <v>76</v>
      </c>
      <c r="K18">
        <v>112</v>
      </c>
      <c r="L18" s="4">
        <v>0.40425531914893609</v>
      </c>
      <c r="M18" s="3">
        <v>5.4406111842081248</v>
      </c>
      <c r="N18" s="3">
        <v>162.231469463313</v>
      </c>
      <c r="O18" s="3">
        <v>48.858641776316993</v>
      </c>
      <c r="P18" s="4">
        <v>0.89473684210526316</v>
      </c>
      <c r="Q18">
        <v>1</v>
      </c>
      <c r="R18">
        <v>8</v>
      </c>
      <c r="S18">
        <v>8</v>
      </c>
      <c r="T18">
        <v>2</v>
      </c>
      <c r="U18">
        <v>4</v>
      </c>
      <c r="V18">
        <v>32</v>
      </c>
      <c r="W18">
        <v>32</v>
      </c>
      <c r="X18">
        <v>8</v>
      </c>
      <c r="Y18" t="s">
        <v>59</v>
      </c>
    </row>
    <row r="19" spans="1:26" x14ac:dyDescent="0.15">
      <c r="A19">
        <v>4</v>
      </c>
      <c r="B19" t="s">
        <v>12</v>
      </c>
      <c r="C19" t="s">
        <v>13</v>
      </c>
      <c r="D19">
        <v>100</v>
      </c>
      <c r="E19">
        <v>208</v>
      </c>
      <c r="F19" s="3">
        <v>919.65910016485168</v>
      </c>
      <c r="G19" s="3">
        <v>3344.5227636600971</v>
      </c>
      <c r="H19" s="3">
        <v>21.56027010000253</v>
      </c>
      <c r="I19">
        <v>18</v>
      </c>
      <c r="J19">
        <v>72</v>
      </c>
      <c r="K19">
        <v>136</v>
      </c>
      <c r="L19" s="4">
        <v>0.34615384615384609</v>
      </c>
      <c r="M19" s="3">
        <v>7.8156555372387038</v>
      </c>
      <c r="N19" s="3">
        <v>162.5489363415341</v>
      </c>
      <c r="O19" s="3">
        <v>51.092172231380651</v>
      </c>
      <c r="P19" s="4">
        <v>1</v>
      </c>
      <c r="Q19">
        <v>1</v>
      </c>
      <c r="R19">
        <v>7</v>
      </c>
      <c r="S19">
        <v>10</v>
      </c>
      <c r="T19">
        <v>0</v>
      </c>
      <c r="U19">
        <v>4</v>
      </c>
      <c r="V19">
        <v>28</v>
      </c>
      <c r="W19">
        <v>40</v>
      </c>
      <c r="X19">
        <v>0</v>
      </c>
      <c r="Y19" t="s">
        <v>60</v>
      </c>
    </row>
    <row r="20" spans="1:26" x14ac:dyDescent="0.15">
      <c r="A20">
        <v>4</v>
      </c>
      <c r="B20" t="s">
        <v>14</v>
      </c>
      <c r="C20" t="s">
        <v>15</v>
      </c>
      <c r="D20">
        <v>100</v>
      </c>
      <c r="E20">
        <v>180</v>
      </c>
      <c r="F20" s="3">
        <v>921.90743820084572</v>
      </c>
      <c r="G20" s="3">
        <v>3724.4160531098328</v>
      </c>
      <c r="H20" s="3">
        <v>21.799088499989011</v>
      </c>
      <c r="I20">
        <v>17</v>
      </c>
      <c r="J20">
        <v>68</v>
      </c>
      <c r="K20">
        <v>112</v>
      </c>
      <c r="L20" s="4">
        <v>0.37777777777777782</v>
      </c>
      <c r="M20" s="3">
        <v>6.8344190351946299</v>
      </c>
      <c r="N20" s="3">
        <v>162.3419034522089</v>
      </c>
      <c r="O20" s="3">
        <v>54.229849305932099</v>
      </c>
      <c r="P20" s="4">
        <v>1</v>
      </c>
      <c r="Q20">
        <v>1</v>
      </c>
      <c r="R20">
        <v>8</v>
      </c>
      <c r="S20">
        <v>8</v>
      </c>
      <c r="T20">
        <v>0</v>
      </c>
      <c r="U20">
        <v>4</v>
      </c>
      <c r="V20">
        <v>32</v>
      </c>
      <c r="W20">
        <v>32</v>
      </c>
      <c r="X20">
        <v>0</v>
      </c>
      <c r="Y20" t="s">
        <v>61</v>
      </c>
    </row>
    <row r="21" spans="1:26" x14ac:dyDescent="0.15">
      <c r="A21">
        <v>4</v>
      </c>
      <c r="B21" t="s">
        <v>16</v>
      </c>
      <c r="C21" t="s">
        <v>17</v>
      </c>
      <c r="D21">
        <v>100</v>
      </c>
      <c r="E21">
        <v>172</v>
      </c>
      <c r="F21" s="3">
        <v>1049.1424550151571</v>
      </c>
      <c r="G21" s="3">
        <v>4117.9451402141476</v>
      </c>
      <c r="H21" s="3">
        <v>50.444014599997899</v>
      </c>
      <c r="I21">
        <v>19</v>
      </c>
      <c r="J21">
        <v>76</v>
      </c>
      <c r="K21">
        <v>96</v>
      </c>
      <c r="L21" s="4">
        <v>0.44186046511627908</v>
      </c>
      <c r="M21" s="3">
        <v>10.61658368261506</v>
      </c>
      <c r="N21" s="3">
        <v>162.72447419993281</v>
      </c>
      <c r="O21" s="3">
        <v>55.218023948166163</v>
      </c>
      <c r="P21" s="4">
        <v>1</v>
      </c>
      <c r="Q21">
        <v>2</v>
      </c>
      <c r="R21">
        <v>9</v>
      </c>
      <c r="S21">
        <v>8</v>
      </c>
      <c r="T21">
        <v>0</v>
      </c>
      <c r="U21">
        <v>8</v>
      </c>
      <c r="V21">
        <v>36</v>
      </c>
      <c r="W21">
        <v>32</v>
      </c>
      <c r="X21">
        <v>0</v>
      </c>
      <c r="Y21" t="s">
        <v>62</v>
      </c>
      <c r="Z21">
        <v>1939</v>
      </c>
    </row>
    <row r="22" spans="1:26" x14ac:dyDescent="0.15">
      <c r="A22">
        <v>5</v>
      </c>
      <c r="B22" t="s">
        <v>8</v>
      </c>
      <c r="C22" t="s">
        <v>9</v>
      </c>
      <c r="D22">
        <v>100</v>
      </c>
      <c r="E22">
        <v>204</v>
      </c>
      <c r="F22" s="3">
        <v>545.06915888818196</v>
      </c>
      <c r="G22" s="3">
        <v>2977.0819032684458</v>
      </c>
      <c r="H22" s="3">
        <v>0.11558610000065531</v>
      </c>
      <c r="I22">
        <v>18</v>
      </c>
      <c r="J22">
        <v>72</v>
      </c>
      <c r="K22">
        <v>132</v>
      </c>
      <c r="L22" s="4">
        <v>0.35294117647058831</v>
      </c>
      <c r="M22" s="3">
        <v>9.4367601235353433</v>
      </c>
      <c r="N22" s="3">
        <v>154.0430372166696</v>
      </c>
      <c r="O22" s="3">
        <v>30.281619938232328</v>
      </c>
      <c r="P22" s="4">
        <v>0.66666666666666663</v>
      </c>
      <c r="Q22">
        <v>0</v>
      </c>
      <c r="R22">
        <v>5</v>
      </c>
      <c r="S22">
        <v>7</v>
      </c>
      <c r="T22">
        <v>6</v>
      </c>
      <c r="U22">
        <v>0</v>
      </c>
      <c r="V22">
        <v>20</v>
      </c>
      <c r="W22">
        <v>28</v>
      </c>
      <c r="X22">
        <v>24</v>
      </c>
      <c r="Y22" t="s">
        <v>63</v>
      </c>
    </row>
    <row r="23" spans="1:26" x14ac:dyDescent="0.15">
      <c r="A23">
        <v>5</v>
      </c>
      <c r="B23" t="s">
        <v>10</v>
      </c>
      <c r="C23" t="s">
        <v>11</v>
      </c>
      <c r="D23">
        <v>100</v>
      </c>
      <c r="E23">
        <v>212</v>
      </c>
      <c r="F23" s="3">
        <v>749.08310668401191</v>
      </c>
      <c r="G23" s="3">
        <v>4366.287832244835</v>
      </c>
      <c r="H23" s="3">
        <v>0.64561980000871699</v>
      </c>
      <c r="I23">
        <v>20</v>
      </c>
      <c r="J23">
        <v>80</v>
      </c>
      <c r="K23">
        <v>132</v>
      </c>
      <c r="L23" s="4">
        <v>0.37735849056603782</v>
      </c>
      <c r="M23" s="3">
        <v>4.0916893315987988</v>
      </c>
      <c r="N23" s="3">
        <v>160.02240959854569</v>
      </c>
      <c r="O23" s="3">
        <v>37.454155334200593</v>
      </c>
      <c r="P23" s="4">
        <v>0.65</v>
      </c>
      <c r="Q23">
        <v>1</v>
      </c>
      <c r="R23">
        <v>7</v>
      </c>
      <c r="S23">
        <v>5</v>
      </c>
      <c r="T23">
        <v>7</v>
      </c>
      <c r="U23">
        <v>4</v>
      </c>
      <c r="V23">
        <v>28</v>
      </c>
      <c r="W23">
        <v>20</v>
      </c>
      <c r="X23">
        <v>28</v>
      </c>
      <c r="Y23" t="s">
        <v>64</v>
      </c>
    </row>
    <row r="24" spans="1:26" x14ac:dyDescent="0.15">
      <c r="A24">
        <v>5</v>
      </c>
      <c r="B24" t="s">
        <v>12</v>
      </c>
      <c r="C24" t="s">
        <v>13</v>
      </c>
      <c r="D24">
        <v>100</v>
      </c>
      <c r="E24">
        <v>236</v>
      </c>
      <c r="F24" s="3">
        <v>898.42136910414604</v>
      </c>
      <c r="G24" s="3">
        <v>4242.9441327642426</v>
      </c>
      <c r="H24" s="3">
        <v>25.801190099999079</v>
      </c>
      <c r="I24">
        <v>18</v>
      </c>
      <c r="J24">
        <v>72</v>
      </c>
      <c r="K24">
        <v>164</v>
      </c>
      <c r="L24" s="4">
        <v>0.30508474576271188</v>
      </c>
      <c r="M24" s="3">
        <v>10.17540343287266</v>
      </c>
      <c r="N24" s="3">
        <v>163.5780239174025</v>
      </c>
      <c r="O24" s="3">
        <v>49.912298283563672</v>
      </c>
      <c r="P24" s="4">
        <v>1</v>
      </c>
      <c r="Q24">
        <v>1</v>
      </c>
      <c r="R24">
        <v>7</v>
      </c>
      <c r="S24">
        <v>10</v>
      </c>
      <c r="T24">
        <v>0</v>
      </c>
      <c r="U24">
        <v>4</v>
      </c>
      <c r="V24">
        <v>28</v>
      </c>
      <c r="W24">
        <v>40</v>
      </c>
      <c r="X24">
        <v>0</v>
      </c>
      <c r="Y24" t="s">
        <v>60</v>
      </c>
    </row>
    <row r="25" spans="1:26" x14ac:dyDescent="0.15">
      <c r="A25">
        <v>5</v>
      </c>
      <c r="B25" t="s">
        <v>14</v>
      </c>
      <c r="C25" t="s">
        <v>15</v>
      </c>
      <c r="D25">
        <v>100</v>
      </c>
      <c r="E25">
        <v>212</v>
      </c>
      <c r="F25" s="3">
        <v>1111.2665400121409</v>
      </c>
      <c r="G25" s="3">
        <v>4835.6825931219737</v>
      </c>
      <c r="H25" s="3">
        <v>4.6027505999954883</v>
      </c>
      <c r="I25">
        <v>20</v>
      </c>
      <c r="J25">
        <v>80</v>
      </c>
      <c r="K25">
        <v>132</v>
      </c>
      <c r="L25" s="4">
        <v>0.37735849056603782</v>
      </c>
      <c r="M25" s="3">
        <v>7.8733459987858776</v>
      </c>
      <c r="N25" s="3">
        <v>165.32437721155671</v>
      </c>
      <c r="O25" s="3">
        <v>55.56332700060706</v>
      </c>
      <c r="P25" s="4">
        <v>1</v>
      </c>
      <c r="Q25">
        <v>2</v>
      </c>
      <c r="R25">
        <v>9</v>
      </c>
      <c r="S25">
        <v>9</v>
      </c>
      <c r="T25">
        <v>0</v>
      </c>
      <c r="U25">
        <v>8</v>
      </c>
      <c r="V25">
        <v>36</v>
      </c>
      <c r="W25">
        <v>36</v>
      </c>
      <c r="X25">
        <v>0</v>
      </c>
      <c r="Y25" t="s">
        <v>65</v>
      </c>
    </row>
    <row r="26" spans="1:26" x14ac:dyDescent="0.15">
      <c r="A26">
        <v>5</v>
      </c>
      <c r="B26" t="s">
        <v>16</v>
      </c>
      <c r="C26" t="s">
        <v>17</v>
      </c>
      <c r="D26">
        <v>100</v>
      </c>
      <c r="E26">
        <v>196</v>
      </c>
      <c r="F26" s="3">
        <v>1041.0092575762931</v>
      </c>
      <c r="G26" s="3">
        <v>5158.9543977904405</v>
      </c>
      <c r="H26" s="3">
        <v>72.249734900004114</v>
      </c>
      <c r="I26">
        <v>19</v>
      </c>
      <c r="J26">
        <v>76</v>
      </c>
      <c r="K26">
        <v>120</v>
      </c>
      <c r="L26" s="4">
        <v>0.38775510204081631</v>
      </c>
      <c r="M26" s="3">
        <v>8.3148149919692127</v>
      </c>
      <c r="N26" s="3">
        <v>162.5155473735422</v>
      </c>
      <c r="O26" s="3">
        <v>54.78996092506803</v>
      </c>
      <c r="P26" s="4">
        <v>1</v>
      </c>
      <c r="Q26">
        <v>2</v>
      </c>
      <c r="R26">
        <v>8</v>
      </c>
      <c r="S26">
        <v>9</v>
      </c>
      <c r="T26">
        <v>0</v>
      </c>
      <c r="U26">
        <v>8</v>
      </c>
      <c r="V26">
        <v>32</v>
      </c>
      <c r="W26">
        <v>36</v>
      </c>
      <c r="X26">
        <v>0</v>
      </c>
      <c r="Y26" t="s">
        <v>66</v>
      </c>
      <c r="Z26">
        <v>1900</v>
      </c>
    </row>
    <row r="27" spans="1:26" x14ac:dyDescent="0.15">
      <c r="A27">
        <v>6</v>
      </c>
      <c r="B27" t="s">
        <v>8</v>
      </c>
      <c r="C27" t="s">
        <v>9</v>
      </c>
      <c r="D27">
        <v>100</v>
      </c>
      <c r="E27">
        <v>232</v>
      </c>
      <c r="F27" s="3">
        <v>708.31961780896813</v>
      </c>
      <c r="G27" s="3">
        <v>3685.4015210774141</v>
      </c>
      <c r="H27" s="3">
        <v>0.17988159999367781</v>
      </c>
      <c r="I27">
        <v>20</v>
      </c>
      <c r="J27">
        <v>80</v>
      </c>
      <c r="K27">
        <v>152</v>
      </c>
      <c r="L27" s="4">
        <v>0.34482758620689657</v>
      </c>
      <c r="M27" s="3">
        <v>9.1680382191031793</v>
      </c>
      <c r="N27" s="3">
        <v>158.67450140323541</v>
      </c>
      <c r="O27" s="3">
        <v>35.415980890448409</v>
      </c>
      <c r="P27" s="4">
        <v>0.7</v>
      </c>
      <c r="Q27">
        <v>1</v>
      </c>
      <c r="R27">
        <v>6</v>
      </c>
      <c r="S27">
        <v>7</v>
      </c>
      <c r="T27">
        <v>6</v>
      </c>
      <c r="U27">
        <v>4</v>
      </c>
      <c r="V27">
        <v>24</v>
      </c>
      <c r="W27">
        <v>28</v>
      </c>
      <c r="X27">
        <v>24</v>
      </c>
      <c r="Y27" t="s">
        <v>67</v>
      </c>
    </row>
    <row r="28" spans="1:26" x14ac:dyDescent="0.15">
      <c r="A28">
        <v>6</v>
      </c>
      <c r="B28" t="s">
        <v>10</v>
      </c>
      <c r="C28" t="s">
        <v>11</v>
      </c>
      <c r="D28">
        <v>100</v>
      </c>
      <c r="E28">
        <v>232</v>
      </c>
      <c r="F28" s="3">
        <v>960.86815787234661</v>
      </c>
      <c r="G28" s="3">
        <v>5327.1559901171813</v>
      </c>
      <c r="H28" s="3">
        <v>0.74512229999527335</v>
      </c>
      <c r="I28">
        <v>19</v>
      </c>
      <c r="J28">
        <v>76</v>
      </c>
      <c r="K28">
        <v>156</v>
      </c>
      <c r="L28" s="4">
        <v>0.32758620689655171</v>
      </c>
      <c r="M28" s="3">
        <v>4.1191412765950988</v>
      </c>
      <c r="N28" s="3">
        <v>161.23293817027979</v>
      </c>
      <c r="O28" s="3">
        <v>50.572008309070867</v>
      </c>
      <c r="P28" s="4">
        <v>0.84210526315789469</v>
      </c>
      <c r="Q28">
        <v>2</v>
      </c>
      <c r="R28">
        <v>8</v>
      </c>
      <c r="S28">
        <v>6</v>
      </c>
      <c r="T28">
        <v>3</v>
      </c>
      <c r="U28">
        <v>8</v>
      </c>
      <c r="V28">
        <v>32</v>
      </c>
      <c r="W28">
        <v>24</v>
      </c>
      <c r="X28">
        <v>12</v>
      </c>
      <c r="Y28" t="s">
        <v>68</v>
      </c>
    </row>
    <row r="29" spans="1:26" x14ac:dyDescent="0.15">
      <c r="A29">
        <v>6</v>
      </c>
      <c r="B29" t="s">
        <v>12</v>
      </c>
      <c r="C29" t="s">
        <v>13</v>
      </c>
      <c r="D29">
        <v>100</v>
      </c>
      <c r="E29">
        <v>264</v>
      </c>
      <c r="F29" s="3">
        <v>796.74051198433824</v>
      </c>
      <c r="G29" s="3">
        <v>5039.6846447485814</v>
      </c>
      <c r="H29" s="3">
        <v>31.924383400008079</v>
      </c>
      <c r="I29">
        <v>15</v>
      </c>
      <c r="J29">
        <v>60</v>
      </c>
      <c r="K29">
        <v>204</v>
      </c>
      <c r="L29" s="4">
        <v>0.22727272727272729</v>
      </c>
      <c r="M29" s="3">
        <v>9.7679317354215609</v>
      </c>
      <c r="N29" s="3">
        <v>164.80443715678729</v>
      </c>
      <c r="O29" s="3">
        <v>53.116034132289222</v>
      </c>
      <c r="P29" s="4">
        <v>1</v>
      </c>
      <c r="Q29">
        <v>2</v>
      </c>
      <c r="R29">
        <v>5</v>
      </c>
      <c r="S29">
        <v>8</v>
      </c>
      <c r="T29">
        <v>0</v>
      </c>
      <c r="U29">
        <v>8</v>
      </c>
      <c r="V29">
        <v>20</v>
      </c>
      <c r="W29">
        <v>32</v>
      </c>
      <c r="X29">
        <v>0</v>
      </c>
      <c r="Y29" t="s">
        <v>69</v>
      </c>
    </row>
    <row r="30" spans="1:26" x14ac:dyDescent="0.15">
      <c r="A30">
        <v>6</v>
      </c>
      <c r="B30" t="s">
        <v>14</v>
      </c>
      <c r="C30" t="s">
        <v>15</v>
      </c>
      <c r="D30">
        <v>100</v>
      </c>
      <c r="E30">
        <v>232</v>
      </c>
      <c r="F30" s="3">
        <v>1108.2832523548641</v>
      </c>
      <c r="G30" s="3">
        <v>5943.9658454768378</v>
      </c>
      <c r="H30" s="3">
        <v>34.056099900000852</v>
      </c>
      <c r="I30">
        <v>20</v>
      </c>
      <c r="J30">
        <v>80</v>
      </c>
      <c r="K30">
        <v>152</v>
      </c>
      <c r="L30" s="4">
        <v>0.34482758620689657</v>
      </c>
      <c r="M30" s="3">
        <v>5.1716747645135879</v>
      </c>
      <c r="N30" s="3">
        <v>164.4056109732108</v>
      </c>
      <c r="O30" s="3">
        <v>55.414162617743202</v>
      </c>
      <c r="P30" s="4">
        <v>1</v>
      </c>
      <c r="Q30">
        <v>3</v>
      </c>
      <c r="R30">
        <v>6</v>
      </c>
      <c r="S30">
        <v>11</v>
      </c>
      <c r="T30">
        <v>0</v>
      </c>
      <c r="U30">
        <v>12</v>
      </c>
      <c r="V30">
        <v>24</v>
      </c>
      <c r="W30">
        <v>44</v>
      </c>
      <c r="X30">
        <v>0</v>
      </c>
      <c r="Y30" t="s">
        <v>70</v>
      </c>
    </row>
    <row r="31" spans="1:26" x14ac:dyDescent="0.15">
      <c r="A31">
        <v>6</v>
      </c>
      <c r="B31" t="s">
        <v>16</v>
      </c>
      <c r="C31" t="s">
        <v>17</v>
      </c>
      <c r="D31">
        <v>100</v>
      </c>
      <c r="E31">
        <v>220</v>
      </c>
      <c r="F31" s="3">
        <v>1228.2769768177859</v>
      </c>
      <c r="G31" s="3">
        <v>6387.2313746082264</v>
      </c>
      <c r="H31" s="3">
        <v>13.25939919998928</v>
      </c>
      <c r="I31">
        <v>20</v>
      </c>
      <c r="J31">
        <v>80</v>
      </c>
      <c r="K31">
        <v>140</v>
      </c>
      <c r="L31" s="4">
        <v>0.36363636363636359</v>
      </c>
      <c r="M31" s="3">
        <v>5.1723023182214343</v>
      </c>
      <c r="N31" s="3">
        <v>166.23597579730139</v>
      </c>
      <c r="O31" s="3">
        <v>61.413848840889287</v>
      </c>
      <c r="P31" s="4">
        <v>1</v>
      </c>
      <c r="Q31">
        <v>4</v>
      </c>
      <c r="R31">
        <v>8</v>
      </c>
      <c r="S31">
        <v>8</v>
      </c>
      <c r="T31">
        <v>0</v>
      </c>
      <c r="U31">
        <v>16</v>
      </c>
      <c r="V31">
        <v>32</v>
      </c>
      <c r="W31">
        <v>32</v>
      </c>
      <c r="X31">
        <v>0</v>
      </c>
      <c r="Y31" t="s">
        <v>71</v>
      </c>
      <c r="Z31">
        <v>1949</v>
      </c>
    </row>
    <row r="32" spans="1:26" x14ac:dyDescent="0.15">
      <c r="A32">
        <v>7</v>
      </c>
      <c r="B32" t="s">
        <v>8</v>
      </c>
      <c r="C32" t="s">
        <v>9</v>
      </c>
      <c r="D32">
        <v>100</v>
      </c>
      <c r="E32">
        <v>252</v>
      </c>
      <c r="F32" s="3">
        <v>679.75241438944624</v>
      </c>
      <c r="G32" s="3">
        <v>4365.1539354668603</v>
      </c>
      <c r="H32" s="3">
        <v>0.21767719999479601</v>
      </c>
      <c r="I32">
        <v>19</v>
      </c>
      <c r="J32">
        <v>76</v>
      </c>
      <c r="K32">
        <v>176</v>
      </c>
      <c r="L32" s="4">
        <v>0.30158730158730163</v>
      </c>
      <c r="M32" s="3">
        <v>7.3944826958477394</v>
      </c>
      <c r="N32" s="3">
        <v>157.11905598673201</v>
      </c>
      <c r="O32" s="3">
        <v>35.776442862602437</v>
      </c>
      <c r="P32" s="4">
        <v>0.78947368421052633</v>
      </c>
      <c r="Q32">
        <v>0</v>
      </c>
      <c r="R32">
        <v>5</v>
      </c>
      <c r="S32">
        <v>10</v>
      </c>
      <c r="T32">
        <v>4</v>
      </c>
      <c r="U32">
        <v>0</v>
      </c>
      <c r="V32">
        <v>20</v>
      </c>
      <c r="W32">
        <v>40</v>
      </c>
      <c r="X32">
        <v>16</v>
      </c>
      <c r="Y32" t="s">
        <v>72</v>
      </c>
    </row>
    <row r="33" spans="1:26" x14ac:dyDescent="0.15">
      <c r="A33">
        <v>7</v>
      </c>
      <c r="B33" t="s">
        <v>10</v>
      </c>
      <c r="C33" t="s">
        <v>11</v>
      </c>
      <c r="D33">
        <v>100</v>
      </c>
      <c r="E33">
        <v>256</v>
      </c>
      <c r="F33" s="3">
        <v>1010.870285883676</v>
      </c>
      <c r="G33" s="3">
        <v>6338.0262760008573</v>
      </c>
      <c r="H33" s="3">
        <v>0.79245359999185894</v>
      </c>
      <c r="I33">
        <v>20</v>
      </c>
      <c r="J33">
        <v>80</v>
      </c>
      <c r="K33">
        <v>176</v>
      </c>
      <c r="L33" s="4">
        <v>0.3125</v>
      </c>
      <c r="M33" s="3">
        <v>3.9129714116324288</v>
      </c>
      <c r="N33" s="3">
        <v>163.1070827200592</v>
      </c>
      <c r="O33" s="3">
        <v>50.543514294183787</v>
      </c>
      <c r="P33" s="4">
        <v>0.75</v>
      </c>
      <c r="Q33">
        <v>3</v>
      </c>
      <c r="R33">
        <v>9</v>
      </c>
      <c r="S33">
        <v>3</v>
      </c>
      <c r="T33">
        <v>5</v>
      </c>
      <c r="U33">
        <v>12</v>
      </c>
      <c r="V33">
        <v>36</v>
      </c>
      <c r="W33">
        <v>12</v>
      </c>
      <c r="X33">
        <v>20</v>
      </c>
      <c r="Y33" t="s">
        <v>73</v>
      </c>
    </row>
    <row r="34" spans="1:26" x14ac:dyDescent="0.15">
      <c r="A34">
        <v>7</v>
      </c>
      <c r="B34" t="s">
        <v>12</v>
      </c>
      <c r="C34" t="s">
        <v>13</v>
      </c>
      <c r="D34">
        <v>100</v>
      </c>
      <c r="E34">
        <v>304</v>
      </c>
      <c r="F34" s="3">
        <v>1187.1497848110339</v>
      </c>
      <c r="G34" s="3">
        <v>6226.8344295596153</v>
      </c>
      <c r="H34" s="3">
        <v>25.427080699999351</v>
      </c>
      <c r="I34">
        <v>20</v>
      </c>
      <c r="J34">
        <v>80</v>
      </c>
      <c r="K34">
        <v>224</v>
      </c>
      <c r="L34" s="4">
        <v>0.26315789473684209</v>
      </c>
      <c r="M34" s="3">
        <v>9.285021518896599</v>
      </c>
      <c r="N34" s="3">
        <v>168.42536254531061</v>
      </c>
      <c r="O34" s="3">
        <v>59.357489240551708</v>
      </c>
      <c r="P34" s="4">
        <v>1</v>
      </c>
      <c r="Q34">
        <v>3</v>
      </c>
      <c r="R34">
        <v>10</v>
      </c>
      <c r="S34">
        <v>7</v>
      </c>
      <c r="T34">
        <v>0</v>
      </c>
      <c r="U34">
        <v>12</v>
      </c>
      <c r="V34">
        <v>40</v>
      </c>
      <c r="W34">
        <v>28</v>
      </c>
      <c r="X34">
        <v>0</v>
      </c>
      <c r="Y34" t="s">
        <v>74</v>
      </c>
    </row>
    <row r="35" spans="1:26" x14ac:dyDescent="0.15">
      <c r="A35">
        <v>7</v>
      </c>
      <c r="B35" t="s">
        <v>14</v>
      </c>
      <c r="C35" t="s">
        <v>15</v>
      </c>
      <c r="D35">
        <v>100</v>
      </c>
      <c r="E35">
        <v>252</v>
      </c>
      <c r="F35" s="3">
        <v>1175.7150692380339</v>
      </c>
      <c r="G35" s="3">
        <v>7119.6809147148724</v>
      </c>
      <c r="H35" s="3">
        <v>4.9611791999923298</v>
      </c>
      <c r="I35">
        <v>20</v>
      </c>
      <c r="J35">
        <v>80</v>
      </c>
      <c r="K35">
        <v>172</v>
      </c>
      <c r="L35" s="4">
        <v>0.31746031746031739</v>
      </c>
      <c r="M35" s="3">
        <v>7.4284930761965553</v>
      </c>
      <c r="N35" s="3">
        <v>165.92803308963869</v>
      </c>
      <c r="O35" s="3">
        <v>58.78575346190172</v>
      </c>
      <c r="P35" s="4">
        <v>1</v>
      </c>
      <c r="Q35">
        <v>3</v>
      </c>
      <c r="R35">
        <v>9</v>
      </c>
      <c r="S35">
        <v>8</v>
      </c>
      <c r="T35">
        <v>0</v>
      </c>
      <c r="U35">
        <v>12</v>
      </c>
      <c r="V35">
        <v>36</v>
      </c>
      <c r="W35">
        <v>32</v>
      </c>
      <c r="X35">
        <v>0</v>
      </c>
      <c r="Y35" t="s">
        <v>52</v>
      </c>
    </row>
    <row r="36" spans="1:26" x14ac:dyDescent="0.15">
      <c r="A36">
        <v>7</v>
      </c>
      <c r="B36" t="s">
        <v>16</v>
      </c>
      <c r="C36" t="s">
        <v>17</v>
      </c>
      <c r="D36">
        <v>100</v>
      </c>
      <c r="E36">
        <v>240</v>
      </c>
      <c r="F36" s="3">
        <v>1152.724894787872</v>
      </c>
      <c r="G36" s="3">
        <v>7539.9562693960988</v>
      </c>
      <c r="H36" s="3">
        <v>38.365345899990643</v>
      </c>
      <c r="I36">
        <v>20</v>
      </c>
      <c r="J36">
        <v>80</v>
      </c>
      <c r="K36">
        <v>160</v>
      </c>
      <c r="L36" s="4">
        <v>0.33333333333333331</v>
      </c>
      <c r="M36" s="3">
        <v>6.7275105212127686</v>
      </c>
      <c r="N36" s="3">
        <v>164.76915160103539</v>
      </c>
      <c r="O36" s="3">
        <v>57.636244739393611</v>
      </c>
      <c r="P36" s="4">
        <v>1</v>
      </c>
      <c r="Q36">
        <v>2</v>
      </c>
      <c r="R36">
        <v>10</v>
      </c>
      <c r="S36">
        <v>8</v>
      </c>
      <c r="T36">
        <v>0</v>
      </c>
      <c r="U36">
        <v>8</v>
      </c>
      <c r="V36">
        <v>40</v>
      </c>
      <c r="W36">
        <v>32</v>
      </c>
      <c r="X36">
        <v>0</v>
      </c>
      <c r="Y36" t="s">
        <v>75</v>
      </c>
      <c r="Z36">
        <v>1843</v>
      </c>
    </row>
    <row r="37" spans="1:26" x14ac:dyDescent="0.15">
      <c r="A37">
        <v>8</v>
      </c>
      <c r="B37" t="s">
        <v>8</v>
      </c>
      <c r="C37" t="s">
        <v>9</v>
      </c>
      <c r="D37">
        <v>100</v>
      </c>
      <c r="E37">
        <v>276</v>
      </c>
      <c r="F37" s="3">
        <v>942.85103300936498</v>
      </c>
      <c r="G37" s="3">
        <v>5308.0049684762253</v>
      </c>
      <c r="H37" s="3">
        <v>0.1006785000063246</v>
      </c>
      <c r="I37">
        <v>19</v>
      </c>
      <c r="J37">
        <v>76</v>
      </c>
      <c r="K37">
        <v>200</v>
      </c>
      <c r="L37" s="4">
        <v>0.27536231884057971</v>
      </c>
      <c r="M37" s="3">
        <v>6.0156807358563098</v>
      </c>
      <c r="N37" s="3">
        <v>162.8216676148752</v>
      </c>
      <c r="O37" s="3">
        <v>49.623738579440257</v>
      </c>
      <c r="P37" s="4">
        <v>0.84210526315789469</v>
      </c>
      <c r="Q37">
        <v>3</v>
      </c>
      <c r="R37">
        <v>6</v>
      </c>
      <c r="S37">
        <v>7</v>
      </c>
      <c r="T37">
        <v>3</v>
      </c>
      <c r="U37">
        <v>12</v>
      </c>
      <c r="V37">
        <v>24</v>
      </c>
      <c r="W37">
        <v>28</v>
      </c>
      <c r="X37">
        <v>12</v>
      </c>
      <c r="Y37" t="s">
        <v>76</v>
      </c>
    </row>
    <row r="38" spans="1:26" x14ac:dyDescent="0.15">
      <c r="A38">
        <v>8</v>
      </c>
      <c r="B38" t="s">
        <v>10</v>
      </c>
      <c r="C38" t="s">
        <v>11</v>
      </c>
      <c r="D38">
        <v>100</v>
      </c>
      <c r="E38">
        <v>276</v>
      </c>
      <c r="F38" s="3">
        <v>752.12107018422637</v>
      </c>
      <c r="G38" s="3">
        <v>7090.1473461850837</v>
      </c>
      <c r="H38" s="3">
        <v>0.78346629999577999</v>
      </c>
      <c r="I38">
        <v>18</v>
      </c>
      <c r="J38">
        <v>72</v>
      </c>
      <c r="K38">
        <v>204</v>
      </c>
      <c r="L38" s="4">
        <v>0.2608695652173913</v>
      </c>
      <c r="M38" s="3">
        <v>4.2087699795304143</v>
      </c>
      <c r="N38" s="3">
        <v>160.14527448660209</v>
      </c>
      <c r="O38" s="3">
        <v>41.784503899123678</v>
      </c>
      <c r="P38" s="4">
        <v>0.88888888888888884</v>
      </c>
      <c r="Q38">
        <v>0</v>
      </c>
      <c r="R38">
        <v>5</v>
      </c>
      <c r="S38">
        <v>11</v>
      </c>
      <c r="T38">
        <v>2</v>
      </c>
      <c r="U38">
        <v>0</v>
      </c>
      <c r="V38">
        <v>20</v>
      </c>
      <c r="W38">
        <v>44</v>
      </c>
      <c r="X38">
        <v>8</v>
      </c>
      <c r="Y38" t="s">
        <v>77</v>
      </c>
    </row>
    <row r="39" spans="1:26" x14ac:dyDescent="0.15">
      <c r="A39">
        <v>8</v>
      </c>
      <c r="B39" t="s">
        <v>12</v>
      </c>
      <c r="C39" t="s">
        <v>13</v>
      </c>
      <c r="D39">
        <v>100</v>
      </c>
      <c r="E39">
        <v>324</v>
      </c>
      <c r="F39" s="3">
        <v>931.96816602583624</v>
      </c>
      <c r="G39" s="3">
        <v>7158.8025955854519</v>
      </c>
      <c r="H39" s="3">
        <v>40.627208000005339</v>
      </c>
      <c r="I39">
        <v>20</v>
      </c>
      <c r="J39">
        <v>80</v>
      </c>
      <c r="K39">
        <v>244</v>
      </c>
      <c r="L39" s="4">
        <v>0.24691358024691359</v>
      </c>
      <c r="M39" s="3">
        <v>7.8031833974163707</v>
      </c>
      <c r="N39" s="3">
        <v>160.9732136286604</v>
      </c>
      <c r="O39" s="3">
        <v>46.598408301291812</v>
      </c>
      <c r="P39" s="4">
        <v>1</v>
      </c>
      <c r="Q39">
        <v>1</v>
      </c>
      <c r="R39">
        <v>5</v>
      </c>
      <c r="S39">
        <v>14</v>
      </c>
      <c r="T39">
        <v>0</v>
      </c>
      <c r="U39">
        <v>4</v>
      </c>
      <c r="V39">
        <v>20</v>
      </c>
      <c r="W39">
        <v>56</v>
      </c>
      <c r="X39">
        <v>0</v>
      </c>
      <c r="Y39" t="s">
        <v>78</v>
      </c>
    </row>
    <row r="40" spans="1:26" x14ac:dyDescent="0.15">
      <c r="A40">
        <v>8</v>
      </c>
      <c r="B40" t="s">
        <v>14</v>
      </c>
      <c r="C40" t="s">
        <v>15</v>
      </c>
      <c r="D40">
        <v>100</v>
      </c>
      <c r="E40">
        <v>272</v>
      </c>
      <c r="F40" s="3">
        <v>800.39265750571769</v>
      </c>
      <c r="G40" s="3">
        <v>7920.07357222059</v>
      </c>
      <c r="H40" s="3">
        <v>42.567526899991208</v>
      </c>
      <c r="I40">
        <v>16</v>
      </c>
      <c r="J40">
        <v>64</v>
      </c>
      <c r="K40">
        <v>208</v>
      </c>
      <c r="L40" s="4">
        <v>0.23529411764705879</v>
      </c>
      <c r="M40" s="3">
        <v>6.2009178117852812</v>
      </c>
      <c r="N40" s="3">
        <v>162.11101611247119</v>
      </c>
      <c r="O40" s="3">
        <v>50.024541094107363</v>
      </c>
      <c r="P40" s="4">
        <v>1</v>
      </c>
      <c r="Q40">
        <v>1</v>
      </c>
      <c r="R40">
        <v>5</v>
      </c>
      <c r="S40">
        <v>10</v>
      </c>
      <c r="T40">
        <v>0</v>
      </c>
      <c r="U40">
        <v>4</v>
      </c>
      <c r="V40">
        <v>20</v>
      </c>
      <c r="W40">
        <v>40</v>
      </c>
      <c r="X40">
        <v>0</v>
      </c>
      <c r="Y40" t="s">
        <v>79</v>
      </c>
    </row>
    <row r="41" spans="1:26" x14ac:dyDescent="0.15">
      <c r="A41">
        <v>8</v>
      </c>
      <c r="B41" t="s">
        <v>16</v>
      </c>
      <c r="C41" t="s">
        <v>17</v>
      </c>
      <c r="D41">
        <v>100</v>
      </c>
      <c r="E41">
        <v>260</v>
      </c>
      <c r="F41" s="3">
        <v>1018.8311158809259</v>
      </c>
      <c r="G41" s="3">
        <v>8558.7873852770244</v>
      </c>
      <c r="H41" s="3">
        <v>16.122689299998459</v>
      </c>
      <c r="I41">
        <v>20</v>
      </c>
      <c r="J41">
        <v>80</v>
      </c>
      <c r="K41">
        <v>180</v>
      </c>
      <c r="L41" s="4">
        <v>0.30769230769230771</v>
      </c>
      <c r="M41" s="3">
        <v>8.116888411907377</v>
      </c>
      <c r="N41" s="3">
        <v>161.1004301616305</v>
      </c>
      <c r="O41" s="3">
        <v>50.941555794046323</v>
      </c>
      <c r="P41" s="4">
        <v>1</v>
      </c>
      <c r="Q41">
        <v>2</v>
      </c>
      <c r="R41">
        <v>6</v>
      </c>
      <c r="S41">
        <v>12</v>
      </c>
      <c r="T41">
        <v>0</v>
      </c>
      <c r="U41">
        <v>8</v>
      </c>
      <c r="V41">
        <v>24</v>
      </c>
      <c r="W41">
        <v>48</v>
      </c>
      <c r="X41">
        <v>0</v>
      </c>
      <c r="Y41" t="s">
        <v>80</v>
      </c>
      <c r="Z41">
        <v>1959</v>
      </c>
    </row>
    <row r="42" spans="1:26" x14ac:dyDescent="0.15">
      <c r="A42">
        <v>9</v>
      </c>
      <c r="B42" t="s">
        <v>8</v>
      </c>
      <c r="C42" t="s">
        <v>9</v>
      </c>
      <c r="D42">
        <v>100</v>
      </c>
      <c r="E42">
        <v>300</v>
      </c>
      <c r="F42" s="3">
        <v>812.6649339865919</v>
      </c>
      <c r="G42" s="3">
        <v>6120.6699024628169</v>
      </c>
      <c r="H42" s="3">
        <v>0.14604589999362361</v>
      </c>
      <c r="I42">
        <v>19</v>
      </c>
      <c r="J42">
        <v>76</v>
      </c>
      <c r="K42">
        <v>224</v>
      </c>
      <c r="L42" s="4">
        <v>0.25333333333333341</v>
      </c>
      <c r="M42" s="3">
        <v>6.0352701066745382</v>
      </c>
      <c r="N42" s="3">
        <v>158.52240405582901</v>
      </c>
      <c r="O42" s="3">
        <v>42.771838630873248</v>
      </c>
      <c r="P42" s="4">
        <v>0.78947368421052633</v>
      </c>
      <c r="Q42">
        <v>1</v>
      </c>
      <c r="R42">
        <v>7</v>
      </c>
      <c r="S42">
        <v>7</v>
      </c>
      <c r="T42">
        <v>4</v>
      </c>
      <c r="U42">
        <v>4</v>
      </c>
      <c r="V42">
        <v>28</v>
      </c>
      <c r="W42">
        <v>28</v>
      </c>
      <c r="X42">
        <v>16</v>
      </c>
      <c r="Y42" t="s">
        <v>81</v>
      </c>
    </row>
    <row r="43" spans="1:26" x14ac:dyDescent="0.15">
      <c r="A43">
        <v>9</v>
      </c>
      <c r="B43" t="s">
        <v>10</v>
      </c>
      <c r="C43" t="s">
        <v>11</v>
      </c>
      <c r="D43">
        <v>100</v>
      </c>
      <c r="E43">
        <v>304</v>
      </c>
      <c r="F43" s="3">
        <v>1132.445714173999</v>
      </c>
      <c r="G43" s="3">
        <v>8222.5930603590823</v>
      </c>
      <c r="H43" s="3">
        <v>0.81114350000279956</v>
      </c>
      <c r="I43">
        <v>19</v>
      </c>
      <c r="J43">
        <v>76</v>
      </c>
      <c r="K43">
        <v>228</v>
      </c>
      <c r="L43" s="4">
        <v>0.25</v>
      </c>
      <c r="M43" s="3">
        <v>7.1109774553684524</v>
      </c>
      <c r="N43" s="3">
        <v>166.6199295617306</v>
      </c>
      <c r="O43" s="3">
        <v>59.602406009157868</v>
      </c>
      <c r="P43" s="4">
        <v>0.94736842105263153</v>
      </c>
      <c r="Q43">
        <v>5</v>
      </c>
      <c r="R43">
        <v>6</v>
      </c>
      <c r="S43">
        <v>7</v>
      </c>
      <c r="T43">
        <v>1</v>
      </c>
      <c r="U43">
        <v>20</v>
      </c>
      <c r="V43">
        <v>24</v>
      </c>
      <c r="W43">
        <v>28</v>
      </c>
      <c r="X43">
        <v>4</v>
      </c>
      <c r="Y43" t="s">
        <v>82</v>
      </c>
    </row>
    <row r="44" spans="1:26" x14ac:dyDescent="0.15">
      <c r="A44">
        <v>9</v>
      </c>
      <c r="B44" t="s">
        <v>12</v>
      </c>
      <c r="C44" t="s">
        <v>13</v>
      </c>
      <c r="D44">
        <v>100</v>
      </c>
      <c r="E44">
        <v>344</v>
      </c>
      <c r="F44" s="3">
        <v>696.06799542773138</v>
      </c>
      <c r="G44" s="3">
        <v>7854.870591013183</v>
      </c>
      <c r="H44" s="3">
        <v>47.816438299996662</v>
      </c>
      <c r="I44">
        <v>10</v>
      </c>
      <c r="J44">
        <v>40</v>
      </c>
      <c r="K44">
        <v>304</v>
      </c>
      <c r="L44" s="4">
        <v>0.1162790697674419</v>
      </c>
      <c r="M44" s="3">
        <v>12.78640091445372</v>
      </c>
      <c r="N44" s="3">
        <v>173.24676046202879</v>
      </c>
      <c r="O44" s="3">
        <v>69.606799542773132</v>
      </c>
      <c r="P44" s="4">
        <v>1</v>
      </c>
      <c r="Q44">
        <v>4</v>
      </c>
      <c r="R44">
        <v>4</v>
      </c>
      <c r="S44">
        <v>2</v>
      </c>
      <c r="T44">
        <v>0</v>
      </c>
      <c r="U44">
        <v>16</v>
      </c>
      <c r="V44">
        <v>16</v>
      </c>
      <c r="W44">
        <v>8</v>
      </c>
      <c r="X44">
        <v>0</v>
      </c>
      <c r="Y44" t="s">
        <v>83</v>
      </c>
    </row>
    <row r="45" spans="1:26" x14ac:dyDescent="0.15">
      <c r="A45">
        <v>9</v>
      </c>
      <c r="B45" t="s">
        <v>14</v>
      </c>
      <c r="C45" t="s">
        <v>15</v>
      </c>
      <c r="D45">
        <v>100</v>
      </c>
      <c r="E45">
        <v>308</v>
      </c>
      <c r="F45" s="3">
        <v>813.70951100268053</v>
      </c>
      <c r="G45" s="3">
        <v>8733.7830832232703</v>
      </c>
      <c r="H45" s="3">
        <v>52.640713799992227</v>
      </c>
      <c r="I45">
        <v>13</v>
      </c>
      <c r="J45">
        <v>52</v>
      </c>
      <c r="K45">
        <v>256</v>
      </c>
      <c r="L45" s="4">
        <v>0.1688311688311688</v>
      </c>
      <c r="M45" s="3">
        <v>5.5831521534337831</v>
      </c>
      <c r="N45" s="3">
        <v>167.1983019116004</v>
      </c>
      <c r="O45" s="3">
        <v>62.593039307898501</v>
      </c>
      <c r="P45" s="4">
        <v>1</v>
      </c>
      <c r="Q45">
        <v>3</v>
      </c>
      <c r="R45">
        <v>5</v>
      </c>
      <c r="S45">
        <v>5</v>
      </c>
      <c r="T45">
        <v>0</v>
      </c>
      <c r="U45">
        <v>12</v>
      </c>
      <c r="V45">
        <v>20</v>
      </c>
      <c r="W45">
        <v>20</v>
      </c>
      <c r="X45">
        <v>0</v>
      </c>
      <c r="Y45" t="s">
        <v>84</v>
      </c>
    </row>
    <row r="46" spans="1:26" x14ac:dyDescent="0.15">
      <c r="A46">
        <v>9</v>
      </c>
      <c r="B46" t="s">
        <v>16</v>
      </c>
      <c r="C46" t="s">
        <v>17</v>
      </c>
      <c r="D46">
        <v>100</v>
      </c>
      <c r="E46">
        <v>280</v>
      </c>
      <c r="F46" s="3">
        <v>1011.254516589275</v>
      </c>
      <c r="G46" s="3">
        <v>9570.0419018662997</v>
      </c>
      <c r="H46" s="3">
        <v>12.3711040999915</v>
      </c>
      <c r="I46">
        <v>17</v>
      </c>
      <c r="J46">
        <v>68</v>
      </c>
      <c r="K46">
        <v>212</v>
      </c>
      <c r="L46" s="4">
        <v>0.24285714285714291</v>
      </c>
      <c r="M46" s="3">
        <v>10.44064510714408</v>
      </c>
      <c r="N46" s="3">
        <v>165.61403463726521</v>
      </c>
      <c r="O46" s="3">
        <v>59.485559799369128</v>
      </c>
      <c r="P46" s="4">
        <v>1</v>
      </c>
      <c r="Q46">
        <v>4</v>
      </c>
      <c r="R46">
        <v>6</v>
      </c>
      <c r="S46">
        <v>7</v>
      </c>
      <c r="T46">
        <v>0</v>
      </c>
      <c r="U46">
        <v>16</v>
      </c>
      <c r="V46">
        <v>24</v>
      </c>
      <c r="W46">
        <v>28</v>
      </c>
      <c r="X46">
        <v>0</v>
      </c>
      <c r="Y46" t="s">
        <v>85</v>
      </c>
      <c r="Z46">
        <v>1902</v>
      </c>
    </row>
    <row r="47" spans="1:26" x14ac:dyDescent="0.15">
      <c r="A47">
        <v>10</v>
      </c>
      <c r="B47" t="s">
        <v>8</v>
      </c>
      <c r="C47" t="s">
        <v>9</v>
      </c>
      <c r="D47">
        <v>100</v>
      </c>
      <c r="E47">
        <v>324</v>
      </c>
      <c r="F47" s="3">
        <v>573.23710712718457</v>
      </c>
      <c r="G47" s="3">
        <v>6693.9070095900024</v>
      </c>
      <c r="H47" s="3">
        <v>0.11622680000436959</v>
      </c>
      <c r="I47">
        <v>18</v>
      </c>
      <c r="J47">
        <v>72</v>
      </c>
      <c r="K47">
        <v>252</v>
      </c>
      <c r="L47" s="4">
        <v>0.22222222222222221</v>
      </c>
      <c r="M47" s="3">
        <v>9.6403214303128113</v>
      </c>
      <c r="N47" s="3">
        <v>157.63933497376209</v>
      </c>
      <c r="O47" s="3">
        <v>31.846505951510249</v>
      </c>
      <c r="P47" s="4">
        <v>0.66666666666666663</v>
      </c>
      <c r="Q47">
        <v>2</v>
      </c>
      <c r="R47">
        <v>2</v>
      </c>
      <c r="S47">
        <v>8</v>
      </c>
      <c r="T47">
        <v>6</v>
      </c>
      <c r="U47">
        <v>8</v>
      </c>
      <c r="V47">
        <v>8</v>
      </c>
      <c r="W47">
        <v>32</v>
      </c>
      <c r="X47">
        <v>24</v>
      </c>
      <c r="Y47" t="s">
        <v>86</v>
      </c>
    </row>
    <row r="48" spans="1:26" x14ac:dyDescent="0.15">
      <c r="A48">
        <v>10</v>
      </c>
      <c r="B48" t="s">
        <v>10</v>
      </c>
      <c r="C48" t="s">
        <v>11</v>
      </c>
      <c r="D48">
        <v>100</v>
      </c>
      <c r="E48">
        <v>328</v>
      </c>
      <c r="F48" s="3">
        <v>867.9017692580577</v>
      </c>
      <c r="G48" s="3">
        <v>9090.4948296171406</v>
      </c>
      <c r="H48" s="3">
        <v>0.99240000000281725</v>
      </c>
      <c r="I48">
        <v>19</v>
      </c>
      <c r="J48">
        <v>76</v>
      </c>
      <c r="K48">
        <v>252</v>
      </c>
      <c r="L48" s="4">
        <v>0.23170731707317069</v>
      </c>
      <c r="M48" s="3">
        <v>4.4313927096781267</v>
      </c>
      <c r="N48" s="3">
        <v>159.66624230444319</v>
      </c>
      <c r="O48" s="3">
        <v>45.679040487266192</v>
      </c>
      <c r="P48" s="4">
        <v>0.84210526315789469</v>
      </c>
      <c r="Q48">
        <v>1</v>
      </c>
      <c r="R48">
        <v>7</v>
      </c>
      <c r="S48">
        <v>8</v>
      </c>
      <c r="T48">
        <v>3</v>
      </c>
      <c r="U48">
        <v>4</v>
      </c>
      <c r="V48">
        <v>28</v>
      </c>
      <c r="W48">
        <v>32</v>
      </c>
      <c r="X48">
        <v>12</v>
      </c>
      <c r="Y48" t="s">
        <v>87</v>
      </c>
    </row>
    <row r="49" spans="1:26" x14ac:dyDescent="0.15">
      <c r="A49">
        <v>10</v>
      </c>
      <c r="B49" t="s">
        <v>12</v>
      </c>
      <c r="C49" t="s">
        <v>13</v>
      </c>
      <c r="D49">
        <v>100</v>
      </c>
      <c r="E49">
        <v>404</v>
      </c>
      <c r="F49" s="3">
        <v>868.1536421280565</v>
      </c>
      <c r="G49" s="3">
        <v>8723.0242331412392</v>
      </c>
      <c r="H49" s="3">
        <v>59.111952199993539</v>
      </c>
      <c r="I49">
        <v>18</v>
      </c>
      <c r="J49">
        <v>72</v>
      </c>
      <c r="K49">
        <v>332</v>
      </c>
      <c r="L49" s="4">
        <v>0.17821782178217821</v>
      </c>
      <c r="M49" s="3">
        <v>6.8718175413270641</v>
      </c>
      <c r="N49" s="3">
        <v>160.7785407714841</v>
      </c>
      <c r="O49" s="3">
        <v>48.230757896003141</v>
      </c>
      <c r="P49" s="4">
        <v>1</v>
      </c>
      <c r="Q49">
        <v>1</v>
      </c>
      <c r="R49">
        <v>5</v>
      </c>
      <c r="S49">
        <v>12</v>
      </c>
      <c r="T49">
        <v>0</v>
      </c>
      <c r="U49">
        <v>4</v>
      </c>
      <c r="V49">
        <v>20</v>
      </c>
      <c r="W49">
        <v>48</v>
      </c>
      <c r="X49">
        <v>0</v>
      </c>
      <c r="Y49" t="s">
        <v>88</v>
      </c>
    </row>
    <row r="50" spans="1:26" x14ac:dyDescent="0.15">
      <c r="A50">
        <v>10</v>
      </c>
      <c r="B50" t="s">
        <v>14</v>
      </c>
      <c r="C50" t="s">
        <v>15</v>
      </c>
      <c r="D50">
        <v>100</v>
      </c>
      <c r="E50">
        <v>356</v>
      </c>
      <c r="F50" s="3">
        <v>1156.5312519277591</v>
      </c>
      <c r="G50" s="3">
        <v>9890.3143351510298</v>
      </c>
      <c r="H50" s="3">
        <v>8.5429385000024922</v>
      </c>
      <c r="I50">
        <v>20</v>
      </c>
      <c r="J50">
        <v>80</v>
      </c>
      <c r="K50">
        <v>276</v>
      </c>
      <c r="L50" s="4">
        <v>0.2247191011235955</v>
      </c>
      <c r="M50" s="3">
        <v>9.3468748072240935</v>
      </c>
      <c r="N50" s="3">
        <v>167.1815183823671</v>
      </c>
      <c r="O50" s="3">
        <v>57.826562596387951</v>
      </c>
      <c r="P50" s="4">
        <v>1</v>
      </c>
      <c r="Q50">
        <v>3</v>
      </c>
      <c r="R50">
        <v>9</v>
      </c>
      <c r="S50">
        <v>8</v>
      </c>
      <c r="T50">
        <v>0</v>
      </c>
      <c r="U50">
        <v>12</v>
      </c>
      <c r="V50">
        <v>36</v>
      </c>
      <c r="W50">
        <v>32</v>
      </c>
      <c r="X50">
        <v>0</v>
      </c>
      <c r="Y50" t="s">
        <v>52</v>
      </c>
    </row>
    <row r="51" spans="1:26" x14ac:dyDescent="0.15">
      <c r="A51">
        <v>10</v>
      </c>
      <c r="B51" t="s">
        <v>16</v>
      </c>
      <c r="C51" t="s">
        <v>17</v>
      </c>
      <c r="D51">
        <v>100</v>
      </c>
      <c r="E51">
        <v>312</v>
      </c>
      <c r="F51" s="3">
        <v>1033.6246521225639</v>
      </c>
      <c r="G51" s="3">
        <v>10603.66655398886</v>
      </c>
      <c r="H51" s="3">
        <v>12.41795669999556</v>
      </c>
      <c r="I51">
        <v>20</v>
      </c>
      <c r="J51">
        <v>80</v>
      </c>
      <c r="K51">
        <v>232</v>
      </c>
      <c r="L51" s="4">
        <v>0.25641025641025639</v>
      </c>
      <c r="M51" s="3">
        <v>6.6375347877435829</v>
      </c>
      <c r="N51" s="3">
        <v>160.96998738460891</v>
      </c>
      <c r="O51" s="3">
        <v>51.681232606128212</v>
      </c>
      <c r="P51" s="4">
        <v>1</v>
      </c>
      <c r="Q51">
        <v>1</v>
      </c>
      <c r="R51">
        <v>8</v>
      </c>
      <c r="S51">
        <v>11</v>
      </c>
      <c r="T51">
        <v>0</v>
      </c>
      <c r="U51">
        <v>4</v>
      </c>
      <c r="V51">
        <v>32</v>
      </c>
      <c r="W51">
        <v>44</v>
      </c>
      <c r="X51">
        <v>0</v>
      </c>
      <c r="Y51" t="s">
        <v>89</v>
      </c>
      <c r="Z51">
        <v>1975</v>
      </c>
    </row>
    <row r="52" spans="1:26" x14ac:dyDescent="0.15">
      <c r="A52">
        <v>11</v>
      </c>
      <c r="B52" t="s">
        <v>8</v>
      </c>
      <c r="C52" t="s">
        <v>9</v>
      </c>
      <c r="D52">
        <v>100</v>
      </c>
      <c r="E52">
        <v>352</v>
      </c>
      <c r="F52" s="3">
        <v>663.7416108673026</v>
      </c>
      <c r="G52" s="3">
        <v>7357.6486204573039</v>
      </c>
      <c r="H52" s="3">
        <v>9.5026499999221414E-2</v>
      </c>
      <c r="I52">
        <v>16</v>
      </c>
      <c r="J52">
        <v>64</v>
      </c>
      <c r="K52">
        <v>288</v>
      </c>
      <c r="L52" s="4">
        <v>0.1818181818181818</v>
      </c>
      <c r="M52" s="3">
        <v>7.0322986415871718</v>
      </c>
      <c r="N52" s="3">
        <v>159.41359372364349</v>
      </c>
      <c r="O52" s="3">
        <v>41.483850679206412</v>
      </c>
      <c r="P52" s="4">
        <v>0.75</v>
      </c>
      <c r="Q52">
        <v>1</v>
      </c>
      <c r="R52">
        <v>6</v>
      </c>
      <c r="S52">
        <v>5</v>
      </c>
      <c r="T52">
        <v>4</v>
      </c>
      <c r="U52">
        <v>4</v>
      </c>
      <c r="V52">
        <v>24</v>
      </c>
      <c r="W52">
        <v>20</v>
      </c>
      <c r="X52">
        <v>16</v>
      </c>
      <c r="Y52" t="s">
        <v>90</v>
      </c>
    </row>
    <row r="53" spans="1:26" x14ac:dyDescent="0.15">
      <c r="A53">
        <v>11</v>
      </c>
      <c r="B53" t="s">
        <v>10</v>
      </c>
      <c r="C53" t="s">
        <v>11</v>
      </c>
      <c r="D53">
        <v>100</v>
      </c>
      <c r="E53">
        <v>352</v>
      </c>
      <c r="F53" s="3">
        <v>1079.4957122975361</v>
      </c>
      <c r="G53" s="3">
        <v>10169.99054191468</v>
      </c>
      <c r="H53" s="3">
        <v>1.2966200000082611</v>
      </c>
      <c r="I53">
        <v>19</v>
      </c>
      <c r="J53">
        <v>76</v>
      </c>
      <c r="K53">
        <v>276</v>
      </c>
      <c r="L53" s="4">
        <v>0.21590909090909091</v>
      </c>
      <c r="M53" s="3">
        <v>3.2109776528909602</v>
      </c>
      <c r="N53" s="3">
        <v>165.51959382080639</v>
      </c>
      <c r="O53" s="3">
        <v>56.815563805133458</v>
      </c>
      <c r="P53" s="4">
        <v>0.94736842105263153</v>
      </c>
      <c r="Q53">
        <v>3</v>
      </c>
      <c r="R53">
        <v>7</v>
      </c>
      <c r="S53">
        <v>8</v>
      </c>
      <c r="T53">
        <v>1</v>
      </c>
      <c r="U53">
        <v>12</v>
      </c>
      <c r="V53">
        <v>28</v>
      </c>
      <c r="W53">
        <v>32</v>
      </c>
      <c r="X53">
        <v>4</v>
      </c>
      <c r="Y53" t="s">
        <v>91</v>
      </c>
    </row>
    <row r="54" spans="1:26" x14ac:dyDescent="0.15">
      <c r="A54">
        <v>11</v>
      </c>
      <c r="B54" t="s">
        <v>12</v>
      </c>
      <c r="C54" t="s">
        <v>13</v>
      </c>
      <c r="D54">
        <v>100</v>
      </c>
      <c r="E54">
        <v>432</v>
      </c>
      <c r="F54" s="3">
        <v>1001.550780303796</v>
      </c>
      <c r="G54" s="3">
        <v>9724.5750134450354</v>
      </c>
      <c r="H54" s="3">
        <v>61.808197899998049</v>
      </c>
      <c r="I54">
        <v>20</v>
      </c>
      <c r="J54">
        <v>80</v>
      </c>
      <c r="K54">
        <v>352</v>
      </c>
      <c r="L54" s="4">
        <v>0.1851851851851852</v>
      </c>
      <c r="M54" s="3">
        <v>6.8449219696203816</v>
      </c>
      <c r="N54" s="3">
        <v>162.13553652807721</v>
      </c>
      <c r="O54" s="3">
        <v>50.077539015189807</v>
      </c>
      <c r="P54" s="4">
        <v>1</v>
      </c>
      <c r="Q54">
        <v>1</v>
      </c>
      <c r="R54">
        <v>7</v>
      </c>
      <c r="S54">
        <v>12</v>
      </c>
      <c r="T54">
        <v>0</v>
      </c>
      <c r="U54">
        <v>4</v>
      </c>
      <c r="V54">
        <v>28</v>
      </c>
      <c r="W54">
        <v>48</v>
      </c>
      <c r="X54">
        <v>0</v>
      </c>
      <c r="Y54" t="s">
        <v>92</v>
      </c>
    </row>
    <row r="55" spans="1:26" x14ac:dyDescent="0.15">
      <c r="A55">
        <v>11</v>
      </c>
      <c r="B55" t="s">
        <v>14</v>
      </c>
      <c r="C55" t="s">
        <v>15</v>
      </c>
      <c r="D55">
        <v>100</v>
      </c>
      <c r="E55">
        <v>376</v>
      </c>
      <c r="F55" s="3">
        <v>998.01657584004715</v>
      </c>
      <c r="G55" s="3">
        <v>10888.330910991081</v>
      </c>
      <c r="H55" s="3">
        <v>75.095165700011421</v>
      </c>
      <c r="I55">
        <v>18</v>
      </c>
      <c r="J55">
        <v>72</v>
      </c>
      <c r="K55">
        <v>304</v>
      </c>
      <c r="L55" s="4">
        <v>0.19148936170212769</v>
      </c>
      <c r="M55" s="3">
        <v>5.7759360177725503</v>
      </c>
      <c r="N55" s="3">
        <v>163.78400558009841</v>
      </c>
      <c r="O55" s="3">
        <v>55.445365324447067</v>
      </c>
      <c r="P55" s="4">
        <v>1</v>
      </c>
      <c r="Q55">
        <v>2</v>
      </c>
      <c r="R55">
        <v>7</v>
      </c>
      <c r="S55">
        <v>9</v>
      </c>
      <c r="T55">
        <v>0</v>
      </c>
      <c r="U55">
        <v>8</v>
      </c>
      <c r="V55">
        <v>28</v>
      </c>
      <c r="W55">
        <v>36</v>
      </c>
      <c r="X55">
        <v>0</v>
      </c>
      <c r="Y55" t="s">
        <v>93</v>
      </c>
    </row>
    <row r="56" spans="1:26" x14ac:dyDescent="0.15">
      <c r="A56">
        <v>11</v>
      </c>
      <c r="B56" t="s">
        <v>16</v>
      </c>
      <c r="C56" t="s">
        <v>17</v>
      </c>
      <c r="D56">
        <v>100</v>
      </c>
      <c r="E56">
        <v>332</v>
      </c>
      <c r="F56" s="3">
        <v>1156.2890511039329</v>
      </c>
      <c r="G56" s="3">
        <v>11759.9556050928</v>
      </c>
      <c r="H56" s="3">
        <v>8.1961952999990899</v>
      </c>
      <c r="I56">
        <v>20</v>
      </c>
      <c r="J56">
        <v>80</v>
      </c>
      <c r="K56">
        <v>252</v>
      </c>
      <c r="L56" s="4">
        <v>0.24096385542168669</v>
      </c>
      <c r="M56" s="3">
        <v>9.3710948896067237</v>
      </c>
      <c r="N56" s="3">
        <v>164.65338997318739</v>
      </c>
      <c r="O56" s="3">
        <v>57.814452555196638</v>
      </c>
      <c r="P56" s="4">
        <v>1</v>
      </c>
      <c r="Q56">
        <v>3</v>
      </c>
      <c r="R56">
        <v>9</v>
      </c>
      <c r="S56">
        <v>8</v>
      </c>
      <c r="T56">
        <v>0</v>
      </c>
      <c r="U56">
        <v>12</v>
      </c>
      <c r="V56">
        <v>36</v>
      </c>
      <c r="W56">
        <v>32</v>
      </c>
      <c r="X56">
        <v>0</v>
      </c>
      <c r="Y56" t="s">
        <v>52</v>
      </c>
      <c r="Z56">
        <v>2016</v>
      </c>
    </row>
    <row r="57" spans="1:26" x14ac:dyDescent="0.15">
      <c r="A57">
        <v>12</v>
      </c>
      <c r="B57" t="s">
        <v>8</v>
      </c>
      <c r="C57" t="s">
        <v>9</v>
      </c>
      <c r="D57">
        <v>100</v>
      </c>
      <c r="E57">
        <v>388</v>
      </c>
      <c r="F57" s="3">
        <v>434.50248381776748</v>
      </c>
      <c r="G57" s="3">
        <v>7792.1511042750717</v>
      </c>
      <c r="H57" s="3">
        <v>0.16840280000178609</v>
      </c>
      <c r="I57">
        <v>18</v>
      </c>
      <c r="J57">
        <v>72</v>
      </c>
      <c r="K57">
        <v>316</v>
      </c>
      <c r="L57" s="4">
        <v>0.18556701030927841</v>
      </c>
      <c r="M57" s="3">
        <v>11.721946242470279</v>
      </c>
      <c r="N57" s="3">
        <v>151.4008300843638</v>
      </c>
      <c r="O57" s="3">
        <v>24.139026878764859</v>
      </c>
      <c r="P57" s="4">
        <v>0.5</v>
      </c>
      <c r="Q57">
        <v>1</v>
      </c>
      <c r="R57">
        <v>4</v>
      </c>
      <c r="S57">
        <v>4</v>
      </c>
      <c r="T57">
        <v>9</v>
      </c>
      <c r="U57">
        <v>4</v>
      </c>
      <c r="V57">
        <v>16</v>
      </c>
      <c r="W57">
        <v>16</v>
      </c>
      <c r="X57">
        <v>36</v>
      </c>
      <c r="Y57" t="s">
        <v>94</v>
      </c>
    </row>
    <row r="58" spans="1:26" x14ac:dyDescent="0.15">
      <c r="A58">
        <v>12</v>
      </c>
      <c r="B58" t="s">
        <v>10</v>
      </c>
      <c r="C58" t="s">
        <v>11</v>
      </c>
      <c r="D58">
        <v>100</v>
      </c>
      <c r="E58">
        <v>376</v>
      </c>
      <c r="F58" s="3">
        <v>715.47507854433786</v>
      </c>
      <c r="G58" s="3">
        <v>10885.46562045901</v>
      </c>
      <c r="H58" s="3">
        <v>0.76132499999948777</v>
      </c>
      <c r="I58">
        <v>18</v>
      </c>
      <c r="J58">
        <v>72</v>
      </c>
      <c r="K58">
        <v>304</v>
      </c>
      <c r="L58" s="4">
        <v>0.19148936170212769</v>
      </c>
      <c r="M58" s="3">
        <v>6.0583246061846783</v>
      </c>
      <c r="N58" s="3">
        <v>160.75401163821559</v>
      </c>
      <c r="O58" s="3">
        <v>39.748615474685437</v>
      </c>
      <c r="P58" s="4">
        <v>0.77777777777777779</v>
      </c>
      <c r="Q58">
        <v>1</v>
      </c>
      <c r="R58">
        <v>5</v>
      </c>
      <c r="S58">
        <v>8</v>
      </c>
      <c r="T58">
        <v>4</v>
      </c>
      <c r="U58">
        <v>4</v>
      </c>
      <c r="V58">
        <v>20</v>
      </c>
      <c r="W58">
        <v>32</v>
      </c>
      <c r="X58">
        <v>16</v>
      </c>
      <c r="Y58" t="s">
        <v>95</v>
      </c>
    </row>
    <row r="59" spans="1:26" x14ac:dyDescent="0.15">
      <c r="A59">
        <v>12</v>
      </c>
      <c r="B59" t="s">
        <v>12</v>
      </c>
      <c r="C59" t="s">
        <v>13</v>
      </c>
      <c r="D59">
        <v>100</v>
      </c>
      <c r="E59">
        <v>452</v>
      </c>
      <c r="F59" s="3">
        <v>1241.9364555864711</v>
      </c>
      <c r="G59" s="3">
        <v>10966.511469031509</v>
      </c>
      <c r="H59" s="3">
        <v>60.84674220001034</v>
      </c>
      <c r="I59">
        <v>20</v>
      </c>
      <c r="J59">
        <v>80</v>
      </c>
      <c r="K59">
        <v>372</v>
      </c>
      <c r="L59" s="4">
        <v>0.1769911504424779</v>
      </c>
      <c r="M59" s="3">
        <v>12.80635444135295</v>
      </c>
      <c r="N59" s="3">
        <v>172.25741928721521</v>
      </c>
      <c r="O59" s="3">
        <v>62.096822779323531</v>
      </c>
      <c r="P59" s="4">
        <v>1</v>
      </c>
      <c r="Q59">
        <v>5</v>
      </c>
      <c r="R59">
        <v>9</v>
      </c>
      <c r="S59">
        <v>6</v>
      </c>
      <c r="T59">
        <v>0</v>
      </c>
      <c r="U59">
        <v>20</v>
      </c>
      <c r="V59">
        <v>36</v>
      </c>
      <c r="W59">
        <v>24</v>
      </c>
      <c r="X59">
        <v>0</v>
      </c>
      <c r="Y59" t="s">
        <v>96</v>
      </c>
    </row>
    <row r="60" spans="1:26" x14ac:dyDescent="0.15">
      <c r="A60">
        <v>12</v>
      </c>
      <c r="B60" t="s">
        <v>14</v>
      </c>
      <c r="C60" t="s">
        <v>15</v>
      </c>
      <c r="D60">
        <v>100</v>
      </c>
      <c r="E60">
        <v>404</v>
      </c>
      <c r="F60" s="3">
        <v>1111.0195977692449</v>
      </c>
      <c r="G60" s="3">
        <v>11999.350508760321</v>
      </c>
      <c r="H60" s="3">
        <v>82.060211699994397</v>
      </c>
      <c r="I60">
        <v>20</v>
      </c>
      <c r="J60">
        <v>80</v>
      </c>
      <c r="K60">
        <v>324</v>
      </c>
      <c r="L60" s="4">
        <v>0.198019801980198</v>
      </c>
      <c r="M60" s="3">
        <v>4.8980402230754834</v>
      </c>
      <c r="N60" s="3">
        <v>163.1657412776577</v>
      </c>
      <c r="O60" s="3">
        <v>55.550979888462258</v>
      </c>
      <c r="P60" s="4">
        <v>1</v>
      </c>
      <c r="Q60">
        <v>3</v>
      </c>
      <c r="R60">
        <v>6</v>
      </c>
      <c r="S60">
        <v>11</v>
      </c>
      <c r="T60">
        <v>0</v>
      </c>
      <c r="U60">
        <v>12</v>
      </c>
      <c r="V60">
        <v>24</v>
      </c>
      <c r="W60">
        <v>44</v>
      </c>
      <c r="X60">
        <v>0</v>
      </c>
      <c r="Y60" t="s">
        <v>70</v>
      </c>
    </row>
    <row r="61" spans="1:26" x14ac:dyDescent="0.15">
      <c r="A61">
        <v>12</v>
      </c>
      <c r="B61" t="s">
        <v>16</v>
      </c>
      <c r="C61" t="s">
        <v>17</v>
      </c>
      <c r="D61">
        <v>100</v>
      </c>
      <c r="E61">
        <v>352</v>
      </c>
      <c r="F61" s="3">
        <v>1015.215836928392</v>
      </c>
      <c r="G61" s="3">
        <v>12775.17144202119</v>
      </c>
      <c r="H61" s="3">
        <v>10.3014863999997</v>
      </c>
      <c r="I61">
        <v>19</v>
      </c>
      <c r="J61">
        <v>76</v>
      </c>
      <c r="K61">
        <v>276</v>
      </c>
      <c r="L61" s="4">
        <v>0.21590909090909091</v>
      </c>
      <c r="M61" s="3">
        <v>7.8720171654324309</v>
      </c>
      <c r="N61" s="3">
        <v>164.0303347468305</v>
      </c>
      <c r="O61" s="3">
        <v>53.432412469915363</v>
      </c>
      <c r="P61" s="4">
        <v>1</v>
      </c>
      <c r="Q61">
        <v>2</v>
      </c>
      <c r="R61">
        <v>7</v>
      </c>
      <c r="S61">
        <v>10</v>
      </c>
      <c r="T61">
        <v>0</v>
      </c>
      <c r="U61">
        <v>8</v>
      </c>
      <c r="V61">
        <v>28</v>
      </c>
      <c r="W61">
        <v>40</v>
      </c>
      <c r="X61">
        <v>0</v>
      </c>
      <c r="Y61" t="s">
        <v>97</v>
      </c>
      <c r="Z61">
        <v>2067</v>
      </c>
    </row>
    <row r="62" spans="1:26" x14ac:dyDescent="0.15">
      <c r="A62">
        <v>13</v>
      </c>
      <c r="B62" t="s">
        <v>8</v>
      </c>
      <c r="C62" t="s">
        <v>9</v>
      </c>
      <c r="D62">
        <v>100</v>
      </c>
      <c r="E62">
        <v>416</v>
      </c>
      <c r="F62" s="3">
        <v>754.08084564782564</v>
      </c>
      <c r="G62" s="3">
        <v>8546.2319499228979</v>
      </c>
      <c r="H62" s="3">
        <v>0.10133489999861919</v>
      </c>
      <c r="I62">
        <v>18</v>
      </c>
      <c r="J62">
        <v>72</v>
      </c>
      <c r="K62">
        <v>344</v>
      </c>
      <c r="L62" s="4">
        <v>0.1730769230769231</v>
      </c>
      <c r="M62" s="3">
        <v>8.4354615946860392</v>
      </c>
      <c r="N62" s="3">
        <v>161.9687677833351</v>
      </c>
      <c r="O62" s="3">
        <v>41.893380313768091</v>
      </c>
      <c r="P62" s="4">
        <v>0.77777777777777779</v>
      </c>
      <c r="Q62">
        <v>2</v>
      </c>
      <c r="R62">
        <v>5</v>
      </c>
      <c r="S62">
        <v>7</v>
      </c>
      <c r="T62">
        <v>4</v>
      </c>
      <c r="U62">
        <v>8</v>
      </c>
      <c r="V62">
        <v>20</v>
      </c>
      <c r="W62">
        <v>28</v>
      </c>
      <c r="X62">
        <v>16</v>
      </c>
      <c r="Y62" t="s">
        <v>98</v>
      </c>
    </row>
    <row r="63" spans="1:26" x14ac:dyDescent="0.15">
      <c r="A63">
        <v>13</v>
      </c>
      <c r="B63" t="s">
        <v>10</v>
      </c>
      <c r="C63" t="s">
        <v>11</v>
      </c>
      <c r="D63">
        <v>100</v>
      </c>
      <c r="E63">
        <v>404</v>
      </c>
      <c r="F63" s="3">
        <v>1143.858106402166</v>
      </c>
      <c r="G63" s="3">
        <v>12029.323726861179</v>
      </c>
      <c r="H63" s="3">
        <v>0.9682427999941865</v>
      </c>
      <c r="I63">
        <v>19</v>
      </c>
      <c r="J63">
        <v>76</v>
      </c>
      <c r="K63">
        <v>328</v>
      </c>
      <c r="L63" s="4">
        <v>0.18811881188118809</v>
      </c>
      <c r="M63" s="3">
        <v>4.8570414313509316</v>
      </c>
      <c r="N63" s="3">
        <v>166.63375974400631</v>
      </c>
      <c r="O63" s="3">
        <v>60.203058231692957</v>
      </c>
      <c r="P63" s="4">
        <v>0.89473684210526316</v>
      </c>
      <c r="Q63">
        <v>5</v>
      </c>
      <c r="R63">
        <v>7</v>
      </c>
      <c r="S63">
        <v>5</v>
      </c>
      <c r="T63">
        <v>2</v>
      </c>
      <c r="U63">
        <v>20</v>
      </c>
      <c r="V63">
        <v>28</v>
      </c>
      <c r="W63">
        <v>20</v>
      </c>
      <c r="X63">
        <v>8</v>
      </c>
      <c r="Y63" t="s">
        <v>99</v>
      </c>
    </row>
    <row r="64" spans="1:26" x14ac:dyDescent="0.15">
      <c r="A64">
        <v>13</v>
      </c>
      <c r="B64" t="s">
        <v>12</v>
      </c>
      <c r="C64" t="s">
        <v>13</v>
      </c>
      <c r="D64">
        <v>100</v>
      </c>
      <c r="E64">
        <v>472</v>
      </c>
      <c r="F64" s="3">
        <v>902.33865908492339</v>
      </c>
      <c r="G64" s="3">
        <v>11868.85012811643</v>
      </c>
      <c r="H64" s="3">
        <v>74.068249999996624</v>
      </c>
      <c r="I64">
        <v>17</v>
      </c>
      <c r="J64">
        <v>68</v>
      </c>
      <c r="K64">
        <v>404</v>
      </c>
      <c r="L64" s="4">
        <v>0.1440677966101695</v>
      </c>
      <c r="M64" s="3">
        <v>12.66604010765608</v>
      </c>
      <c r="N64" s="3">
        <v>167.32424516062139</v>
      </c>
      <c r="O64" s="3">
        <v>53.078744652054318</v>
      </c>
      <c r="P64" s="4">
        <v>1</v>
      </c>
      <c r="Q64">
        <v>3</v>
      </c>
      <c r="R64">
        <v>5</v>
      </c>
      <c r="S64">
        <v>9</v>
      </c>
      <c r="T64">
        <v>0</v>
      </c>
      <c r="U64">
        <v>12</v>
      </c>
      <c r="V64">
        <v>20</v>
      </c>
      <c r="W64">
        <v>36</v>
      </c>
      <c r="X64">
        <v>0</v>
      </c>
      <c r="Y64" t="s">
        <v>100</v>
      </c>
    </row>
    <row r="65" spans="1:26" x14ac:dyDescent="0.15">
      <c r="A65">
        <v>13</v>
      </c>
      <c r="B65" t="s">
        <v>14</v>
      </c>
      <c r="C65" t="s">
        <v>15</v>
      </c>
      <c r="D65">
        <v>100</v>
      </c>
      <c r="E65">
        <v>424</v>
      </c>
      <c r="F65" s="3">
        <v>1194.7772062382101</v>
      </c>
      <c r="G65" s="3">
        <v>13194.127714998531</v>
      </c>
      <c r="H65" s="3">
        <v>88.462960400007432</v>
      </c>
      <c r="I65">
        <v>20</v>
      </c>
      <c r="J65">
        <v>80</v>
      </c>
      <c r="K65">
        <v>344</v>
      </c>
      <c r="L65" s="4">
        <v>0.18867924528301891</v>
      </c>
      <c r="M65" s="3">
        <v>5.5222793761790214</v>
      </c>
      <c r="N65" s="3">
        <v>166.7324224436438</v>
      </c>
      <c r="O65" s="3">
        <v>59.738860311910493</v>
      </c>
      <c r="P65" s="4">
        <v>1</v>
      </c>
      <c r="Q65">
        <v>3</v>
      </c>
      <c r="R65">
        <v>9</v>
      </c>
      <c r="S65">
        <v>8</v>
      </c>
      <c r="T65">
        <v>0</v>
      </c>
      <c r="U65">
        <v>12</v>
      </c>
      <c r="V65">
        <v>36</v>
      </c>
      <c r="W65">
        <v>32</v>
      </c>
      <c r="X65">
        <v>0</v>
      </c>
      <c r="Y65" t="s">
        <v>52</v>
      </c>
    </row>
    <row r="66" spans="1:26" x14ac:dyDescent="0.15">
      <c r="A66">
        <v>13</v>
      </c>
      <c r="B66" t="s">
        <v>16</v>
      </c>
      <c r="C66" t="s">
        <v>17</v>
      </c>
      <c r="D66">
        <v>100</v>
      </c>
      <c r="E66">
        <v>376</v>
      </c>
      <c r="F66" s="3">
        <v>1206.758813626082</v>
      </c>
      <c r="G66" s="3">
        <v>13981.93025564727</v>
      </c>
      <c r="H66" s="3">
        <v>12.240394899999959</v>
      </c>
      <c r="I66">
        <v>19</v>
      </c>
      <c r="J66">
        <v>76</v>
      </c>
      <c r="K66">
        <v>300</v>
      </c>
      <c r="L66" s="4">
        <v>0.2021276595744681</v>
      </c>
      <c r="M66" s="3">
        <v>9.8148617235703153</v>
      </c>
      <c r="N66" s="3">
        <v>169.91341186045969</v>
      </c>
      <c r="O66" s="3">
        <v>63.513621769793787</v>
      </c>
      <c r="P66" s="4">
        <v>1</v>
      </c>
      <c r="Q66">
        <v>5</v>
      </c>
      <c r="R66">
        <v>8</v>
      </c>
      <c r="S66">
        <v>6</v>
      </c>
      <c r="T66">
        <v>0</v>
      </c>
      <c r="U66">
        <v>20</v>
      </c>
      <c r="V66">
        <v>32</v>
      </c>
      <c r="W66">
        <v>24</v>
      </c>
      <c r="X66">
        <v>0</v>
      </c>
      <c r="Y66" t="s">
        <v>101</v>
      </c>
      <c r="Z66">
        <v>2101</v>
      </c>
    </row>
    <row r="67" spans="1:26" x14ac:dyDescent="0.15">
      <c r="A67">
        <v>14</v>
      </c>
      <c r="B67" t="s">
        <v>8</v>
      </c>
      <c r="C67" t="s">
        <v>9</v>
      </c>
      <c r="D67">
        <v>100</v>
      </c>
      <c r="E67">
        <v>444</v>
      </c>
      <c r="F67" s="3">
        <v>605.08442240288241</v>
      </c>
      <c r="G67" s="3">
        <v>9151.3163723257803</v>
      </c>
      <c r="H67" s="3">
        <v>0.16203150000364991</v>
      </c>
      <c r="I67">
        <v>18</v>
      </c>
      <c r="J67">
        <v>72</v>
      </c>
      <c r="K67">
        <v>372</v>
      </c>
      <c r="L67" s="4">
        <v>0.1621621621621622</v>
      </c>
      <c r="M67" s="3">
        <v>10.546175288568611</v>
      </c>
      <c r="N67" s="3">
        <v>156.96791407901031</v>
      </c>
      <c r="O67" s="3">
        <v>33.615801244604583</v>
      </c>
      <c r="P67" s="4">
        <v>0.72222222222222221</v>
      </c>
      <c r="Q67">
        <v>1</v>
      </c>
      <c r="R67">
        <v>4</v>
      </c>
      <c r="S67">
        <v>8</v>
      </c>
      <c r="T67">
        <v>5</v>
      </c>
      <c r="U67">
        <v>4</v>
      </c>
      <c r="V67">
        <v>16</v>
      </c>
      <c r="W67">
        <v>32</v>
      </c>
      <c r="X67">
        <v>20</v>
      </c>
      <c r="Y67" t="s">
        <v>102</v>
      </c>
    </row>
    <row r="68" spans="1:26" x14ac:dyDescent="0.15">
      <c r="A68">
        <v>14</v>
      </c>
      <c r="B68" t="s">
        <v>10</v>
      </c>
      <c r="C68" t="s">
        <v>11</v>
      </c>
      <c r="D68">
        <v>100</v>
      </c>
      <c r="E68">
        <v>428</v>
      </c>
      <c r="F68" s="3">
        <v>762.41084810279062</v>
      </c>
      <c r="G68" s="3">
        <v>12791.73457496397</v>
      </c>
      <c r="H68" s="3">
        <v>1.25057379998907</v>
      </c>
      <c r="I68">
        <v>17</v>
      </c>
      <c r="J68">
        <v>68</v>
      </c>
      <c r="K68">
        <v>360</v>
      </c>
      <c r="L68" s="4">
        <v>0.15887850467289719</v>
      </c>
      <c r="M68" s="3">
        <v>4.4222531643775884</v>
      </c>
      <c r="N68" s="3">
        <v>159.4257269327685</v>
      </c>
      <c r="O68" s="3">
        <v>44.847696947222978</v>
      </c>
      <c r="P68" s="4">
        <v>0.82352941176470584</v>
      </c>
      <c r="Q68">
        <v>1</v>
      </c>
      <c r="R68">
        <v>6</v>
      </c>
      <c r="S68">
        <v>7</v>
      </c>
      <c r="T68">
        <v>3</v>
      </c>
      <c r="U68">
        <v>4</v>
      </c>
      <c r="V68">
        <v>24</v>
      </c>
      <c r="W68">
        <v>28</v>
      </c>
      <c r="X68">
        <v>12</v>
      </c>
      <c r="Y68" t="s">
        <v>103</v>
      </c>
    </row>
    <row r="69" spans="1:26" x14ac:dyDescent="0.15">
      <c r="A69">
        <v>14</v>
      </c>
      <c r="B69" t="s">
        <v>12</v>
      </c>
      <c r="C69" t="s">
        <v>13</v>
      </c>
      <c r="D69">
        <v>100</v>
      </c>
      <c r="E69">
        <v>504</v>
      </c>
      <c r="F69" s="3">
        <v>840.02748995174397</v>
      </c>
      <c r="G69" s="3">
        <v>12708.877618068171</v>
      </c>
      <c r="H69" s="3">
        <v>78.484622799995122</v>
      </c>
      <c r="I69">
        <v>17</v>
      </c>
      <c r="J69">
        <v>68</v>
      </c>
      <c r="K69">
        <v>436</v>
      </c>
      <c r="L69" s="4">
        <v>0.13492063492063491</v>
      </c>
      <c r="M69" s="3">
        <v>9.4085305939124773</v>
      </c>
      <c r="N69" s="3">
        <v>163.08326791761709</v>
      </c>
      <c r="O69" s="3">
        <v>49.413381761867292</v>
      </c>
      <c r="P69" s="4">
        <v>1</v>
      </c>
      <c r="Q69">
        <v>1</v>
      </c>
      <c r="R69">
        <v>6</v>
      </c>
      <c r="S69">
        <v>10</v>
      </c>
      <c r="T69">
        <v>0</v>
      </c>
      <c r="U69">
        <v>4</v>
      </c>
      <c r="V69">
        <v>24</v>
      </c>
      <c r="W69">
        <v>40</v>
      </c>
      <c r="X69">
        <v>0</v>
      </c>
      <c r="Y69" t="s">
        <v>104</v>
      </c>
    </row>
    <row r="70" spans="1:26" x14ac:dyDescent="0.15">
      <c r="A70">
        <v>14</v>
      </c>
      <c r="B70" t="s">
        <v>14</v>
      </c>
      <c r="C70" t="s">
        <v>15</v>
      </c>
      <c r="D70">
        <v>100</v>
      </c>
      <c r="E70">
        <v>444</v>
      </c>
      <c r="F70" s="3">
        <v>1034.3394316219651</v>
      </c>
      <c r="G70" s="3">
        <v>14228.4671466205</v>
      </c>
      <c r="H70" s="3">
        <v>96.81736980000278</v>
      </c>
      <c r="I70">
        <v>19</v>
      </c>
      <c r="J70">
        <v>76</v>
      </c>
      <c r="K70">
        <v>368</v>
      </c>
      <c r="L70" s="4">
        <v>0.1711711711711712</v>
      </c>
      <c r="M70" s="3">
        <v>5.8590071976879434</v>
      </c>
      <c r="N70" s="3">
        <v>164.85191101487959</v>
      </c>
      <c r="O70" s="3">
        <v>54.43891745378761</v>
      </c>
      <c r="P70" s="4">
        <v>1</v>
      </c>
      <c r="Q70">
        <v>2</v>
      </c>
      <c r="R70">
        <v>7</v>
      </c>
      <c r="S70">
        <v>10</v>
      </c>
      <c r="T70">
        <v>0</v>
      </c>
      <c r="U70">
        <v>8</v>
      </c>
      <c r="V70">
        <v>28</v>
      </c>
      <c r="W70">
        <v>40</v>
      </c>
      <c r="X70">
        <v>0</v>
      </c>
      <c r="Y70" t="s">
        <v>97</v>
      </c>
    </row>
    <row r="71" spans="1:26" x14ac:dyDescent="0.15">
      <c r="A71">
        <v>14</v>
      </c>
      <c r="B71" t="s">
        <v>16</v>
      </c>
      <c r="C71" t="s">
        <v>17</v>
      </c>
      <c r="D71">
        <v>100</v>
      </c>
      <c r="E71">
        <v>400</v>
      </c>
      <c r="F71" s="3">
        <v>1055.4287993878081</v>
      </c>
      <c r="G71" s="3">
        <v>15037.35905503508</v>
      </c>
      <c r="H71" s="3">
        <v>7.0995718000049237</v>
      </c>
      <c r="I71">
        <v>20</v>
      </c>
      <c r="J71">
        <v>80</v>
      </c>
      <c r="K71">
        <v>320</v>
      </c>
      <c r="L71" s="4">
        <v>0.2</v>
      </c>
      <c r="M71" s="3">
        <v>7.4571200612192294</v>
      </c>
      <c r="N71" s="3">
        <v>163.09905223497631</v>
      </c>
      <c r="O71" s="3">
        <v>52.771439969390393</v>
      </c>
      <c r="P71" s="4">
        <v>1</v>
      </c>
      <c r="Q71">
        <v>1</v>
      </c>
      <c r="R71">
        <v>9</v>
      </c>
      <c r="S71">
        <v>10</v>
      </c>
      <c r="T71">
        <v>0</v>
      </c>
      <c r="U71">
        <v>4</v>
      </c>
      <c r="V71">
        <v>36</v>
      </c>
      <c r="W71">
        <v>40</v>
      </c>
      <c r="X71">
        <v>0</v>
      </c>
      <c r="Y71" t="s">
        <v>105</v>
      </c>
      <c r="Z71">
        <v>1936</v>
      </c>
    </row>
    <row r="72" spans="1:26" x14ac:dyDescent="0.15">
      <c r="A72">
        <v>15</v>
      </c>
      <c r="B72" t="s">
        <v>8</v>
      </c>
      <c r="C72" t="s">
        <v>9</v>
      </c>
      <c r="D72">
        <v>100</v>
      </c>
      <c r="E72">
        <v>472</v>
      </c>
      <c r="F72" s="3">
        <v>697.95832807970874</v>
      </c>
      <c r="G72" s="3">
        <v>9849.2747004054891</v>
      </c>
      <c r="H72" s="3">
        <v>0.19281829999818001</v>
      </c>
      <c r="I72">
        <v>17</v>
      </c>
      <c r="J72">
        <v>68</v>
      </c>
      <c r="K72">
        <v>404</v>
      </c>
      <c r="L72" s="4">
        <v>0.1440677966101695</v>
      </c>
      <c r="M72" s="3">
        <v>9.6519614023872062</v>
      </c>
      <c r="N72" s="3">
        <v>161.9009223771952</v>
      </c>
      <c r="O72" s="3">
        <v>41.056372239982863</v>
      </c>
      <c r="P72" s="4">
        <v>0.70588235294117652</v>
      </c>
      <c r="Q72">
        <v>2</v>
      </c>
      <c r="R72">
        <v>6</v>
      </c>
      <c r="S72">
        <v>4</v>
      </c>
      <c r="T72">
        <v>5</v>
      </c>
      <c r="U72">
        <v>8</v>
      </c>
      <c r="V72">
        <v>24</v>
      </c>
      <c r="W72">
        <v>16</v>
      </c>
      <c r="X72">
        <v>20</v>
      </c>
      <c r="Y72" t="s">
        <v>106</v>
      </c>
    </row>
    <row r="73" spans="1:26" x14ac:dyDescent="0.15">
      <c r="A73">
        <v>15</v>
      </c>
      <c r="B73" t="s">
        <v>10</v>
      </c>
      <c r="C73" t="s">
        <v>11</v>
      </c>
      <c r="D73">
        <v>100</v>
      </c>
      <c r="E73">
        <v>460</v>
      </c>
      <c r="F73" s="3">
        <v>873.20624106341074</v>
      </c>
      <c r="G73" s="3">
        <v>13664.94081602738</v>
      </c>
      <c r="H73" s="3">
        <v>1.1228483000013509</v>
      </c>
      <c r="I73">
        <v>18</v>
      </c>
      <c r="J73">
        <v>72</v>
      </c>
      <c r="K73">
        <v>388</v>
      </c>
      <c r="L73" s="4">
        <v>0.15652173913043479</v>
      </c>
      <c r="M73" s="3">
        <v>5.1993065485099139</v>
      </c>
      <c r="N73" s="3">
        <v>160.0908577505173</v>
      </c>
      <c r="O73" s="3">
        <v>48.511457836856152</v>
      </c>
      <c r="P73" s="4">
        <v>0.77777777777777779</v>
      </c>
      <c r="Q73">
        <v>2</v>
      </c>
      <c r="R73">
        <v>8</v>
      </c>
      <c r="S73">
        <v>4</v>
      </c>
      <c r="T73">
        <v>4</v>
      </c>
      <c r="U73">
        <v>8</v>
      </c>
      <c r="V73">
        <v>32</v>
      </c>
      <c r="W73">
        <v>16</v>
      </c>
      <c r="X73">
        <v>16</v>
      </c>
      <c r="Y73" t="s">
        <v>107</v>
      </c>
    </row>
    <row r="74" spans="1:26" x14ac:dyDescent="0.15">
      <c r="A74">
        <v>15</v>
      </c>
      <c r="B74" t="s">
        <v>12</v>
      </c>
      <c r="C74" t="s">
        <v>13</v>
      </c>
      <c r="D74">
        <v>100</v>
      </c>
      <c r="E74">
        <v>536</v>
      </c>
      <c r="F74" s="3">
        <v>901.73513330269373</v>
      </c>
      <c r="G74" s="3">
        <v>13610.612751370871</v>
      </c>
      <c r="H74" s="3">
        <v>83.398936000012327</v>
      </c>
      <c r="I74">
        <v>19</v>
      </c>
      <c r="J74">
        <v>76</v>
      </c>
      <c r="K74">
        <v>460</v>
      </c>
      <c r="L74" s="4">
        <v>0.1417910447761194</v>
      </c>
      <c r="M74" s="3">
        <v>7.185775441821721</v>
      </c>
      <c r="N74" s="3">
        <v>162.91275374422889</v>
      </c>
      <c r="O74" s="3">
        <v>47.459743858036511</v>
      </c>
      <c r="P74" s="4">
        <v>1</v>
      </c>
      <c r="Q74">
        <v>1</v>
      </c>
      <c r="R74">
        <v>5</v>
      </c>
      <c r="S74">
        <v>13</v>
      </c>
      <c r="T74">
        <v>0</v>
      </c>
      <c r="U74">
        <v>4</v>
      </c>
      <c r="V74">
        <v>20</v>
      </c>
      <c r="W74">
        <v>52</v>
      </c>
      <c r="X74">
        <v>0</v>
      </c>
      <c r="Y74" t="s">
        <v>108</v>
      </c>
    </row>
    <row r="75" spans="1:26" x14ac:dyDescent="0.15">
      <c r="A75">
        <v>15</v>
      </c>
      <c r="B75" t="s">
        <v>14</v>
      </c>
      <c r="C75" t="s">
        <v>15</v>
      </c>
      <c r="D75">
        <v>100</v>
      </c>
      <c r="E75">
        <v>468</v>
      </c>
      <c r="F75" s="3">
        <v>945.11992948823718</v>
      </c>
      <c r="G75" s="3">
        <v>15173.58707610873</v>
      </c>
      <c r="H75" s="3">
        <v>103.95454530000281</v>
      </c>
      <c r="I75">
        <v>17</v>
      </c>
      <c r="J75">
        <v>68</v>
      </c>
      <c r="K75">
        <v>400</v>
      </c>
      <c r="L75" s="4">
        <v>0.14529914529914531</v>
      </c>
      <c r="M75" s="3">
        <v>7.6329494719720996</v>
      </c>
      <c r="N75" s="3">
        <v>163.22546703104379</v>
      </c>
      <c r="O75" s="3">
        <v>55.595289969896307</v>
      </c>
      <c r="P75" s="4">
        <v>1</v>
      </c>
      <c r="Q75">
        <v>2</v>
      </c>
      <c r="R75">
        <v>7</v>
      </c>
      <c r="S75">
        <v>8</v>
      </c>
      <c r="T75">
        <v>0</v>
      </c>
      <c r="U75">
        <v>8</v>
      </c>
      <c r="V75">
        <v>28</v>
      </c>
      <c r="W75">
        <v>32</v>
      </c>
      <c r="X75">
        <v>0</v>
      </c>
      <c r="Y75" t="s">
        <v>109</v>
      </c>
    </row>
    <row r="76" spans="1:26" x14ac:dyDescent="0.15">
      <c r="A76">
        <v>15</v>
      </c>
      <c r="B76" t="s">
        <v>16</v>
      </c>
      <c r="C76" t="s">
        <v>17</v>
      </c>
      <c r="D76">
        <v>100</v>
      </c>
      <c r="E76">
        <v>420</v>
      </c>
      <c r="F76" s="3">
        <v>1035.0187678761399</v>
      </c>
      <c r="G76" s="3">
        <v>16072.377822911219</v>
      </c>
      <c r="H76" s="3">
        <v>20.957238799994229</v>
      </c>
      <c r="I76">
        <v>19</v>
      </c>
      <c r="J76">
        <v>76</v>
      </c>
      <c r="K76">
        <v>344</v>
      </c>
      <c r="L76" s="4">
        <v>0.18095238095238089</v>
      </c>
      <c r="M76" s="3">
        <v>5.7874981183010812</v>
      </c>
      <c r="N76" s="3">
        <v>161.89614184238411</v>
      </c>
      <c r="O76" s="3">
        <v>54.474671993481039</v>
      </c>
      <c r="P76" s="4">
        <v>1</v>
      </c>
      <c r="Q76">
        <v>2</v>
      </c>
      <c r="R76">
        <v>7</v>
      </c>
      <c r="S76">
        <v>10</v>
      </c>
      <c r="T76">
        <v>0</v>
      </c>
      <c r="U76">
        <v>8</v>
      </c>
      <c r="V76">
        <v>28</v>
      </c>
      <c r="W76">
        <v>40</v>
      </c>
      <c r="X76">
        <v>0</v>
      </c>
      <c r="Y76" t="s">
        <v>97</v>
      </c>
      <c r="Z76">
        <v>2141</v>
      </c>
    </row>
    <row r="77" spans="1:26" x14ac:dyDescent="0.15">
      <c r="A77">
        <v>16</v>
      </c>
      <c r="B77" t="s">
        <v>8</v>
      </c>
      <c r="C77" t="s">
        <v>9</v>
      </c>
      <c r="D77">
        <v>100</v>
      </c>
      <c r="E77">
        <v>504</v>
      </c>
      <c r="F77" s="3">
        <v>436.37804791795912</v>
      </c>
      <c r="G77" s="3">
        <v>10285.652748323449</v>
      </c>
      <c r="H77" s="3">
        <v>6.2107100005960092E-2</v>
      </c>
      <c r="I77">
        <v>14</v>
      </c>
      <c r="J77">
        <v>56</v>
      </c>
      <c r="K77">
        <v>448</v>
      </c>
      <c r="L77" s="4">
        <v>0.1111111111111111</v>
      </c>
      <c r="M77" s="3">
        <v>7.6602788688629859</v>
      </c>
      <c r="N77" s="3">
        <v>155.96817602868791</v>
      </c>
      <c r="O77" s="3">
        <v>31.169860565568509</v>
      </c>
      <c r="P77" s="4">
        <v>0.7142857142857143</v>
      </c>
      <c r="Q77">
        <v>0</v>
      </c>
      <c r="R77">
        <v>3</v>
      </c>
      <c r="S77">
        <v>7</v>
      </c>
      <c r="T77">
        <v>4</v>
      </c>
      <c r="U77">
        <v>0</v>
      </c>
      <c r="V77">
        <v>12</v>
      </c>
      <c r="W77">
        <v>28</v>
      </c>
      <c r="X77">
        <v>16</v>
      </c>
      <c r="Y77" t="s">
        <v>110</v>
      </c>
    </row>
    <row r="78" spans="1:26" x14ac:dyDescent="0.15">
      <c r="A78">
        <v>16</v>
      </c>
      <c r="B78" t="s">
        <v>10</v>
      </c>
      <c r="C78" t="s">
        <v>11</v>
      </c>
      <c r="D78">
        <v>100</v>
      </c>
      <c r="E78">
        <v>488</v>
      </c>
      <c r="F78" s="3">
        <v>589.86367544112841</v>
      </c>
      <c r="G78" s="3">
        <v>14254.804491468511</v>
      </c>
      <c r="H78" s="3">
        <v>1.064143099996727</v>
      </c>
      <c r="I78">
        <v>17</v>
      </c>
      <c r="J78">
        <v>68</v>
      </c>
      <c r="K78">
        <v>420</v>
      </c>
      <c r="L78" s="4">
        <v>0.13934426229508201</v>
      </c>
      <c r="M78" s="3">
        <v>3.545449948102537</v>
      </c>
      <c r="N78" s="3">
        <v>159.56731098828891</v>
      </c>
      <c r="O78" s="3">
        <v>34.697863261242837</v>
      </c>
      <c r="P78" s="4">
        <v>0.6470588235294118</v>
      </c>
      <c r="Q78">
        <v>0</v>
      </c>
      <c r="R78">
        <v>6</v>
      </c>
      <c r="S78">
        <v>5</v>
      </c>
      <c r="T78">
        <v>6</v>
      </c>
      <c r="U78">
        <v>0</v>
      </c>
      <c r="V78">
        <v>24</v>
      </c>
      <c r="W78">
        <v>20</v>
      </c>
      <c r="X78">
        <v>24</v>
      </c>
      <c r="Y78" t="s">
        <v>111</v>
      </c>
    </row>
    <row r="79" spans="1:26" x14ac:dyDescent="0.15">
      <c r="A79">
        <v>16</v>
      </c>
      <c r="B79" t="s">
        <v>12</v>
      </c>
      <c r="C79" t="s">
        <v>13</v>
      </c>
      <c r="D79">
        <v>100</v>
      </c>
      <c r="E79">
        <v>560</v>
      </c>
      <c r="F79" s="3">
        <v>1099.327260785411</v>
      </c>
      <c r="G79" s="3">
        <v>14709.940012156279</v>
      </c>
      <c r="H79" s="3">
        <v>82.530432500003371</v>
      </c>
      <c r="I79">
        <v>20</v>
      </c>
      <c r="J79">
        <v>80</v>
      </c>
      <c r="K79">
        <v>480</v>
      </c>
      <c r="L79" s="4">
        <v>0.14285714285714279</v>
      </c>
      <c r="M79" s="3">
        <v>9.0672739214589431</v>
      </c>
      <c r="N79" s="3">
        <v>165.80326041509929</v>
      </c>
      <c r="O79" s="3">
        <v>54.966363039270533</v>
      </c>
      <c r="P79" s="4">
        <v>1</v>
      </c>
      <c r="Q79">
        <v>2</v>
      </c>
      <c r="R79">
        <v>9</v>
      </c>
      <c r="S79">
        <v>9</v>
      </c>
      <c r="T79">
        <v>0</v>
      </c>
      <c r="U79">
        <v>8</v>
      </c>
      <c r="V79">
        <v>36</v>
      </c>
      <c r="W79">
        <v>36</v>
      </c>
      <c r="X79">
        <v>0</v>
      </c>
      <c r="Y79" t="s">
        <v>65</v>
      </c>
    </row>
    <row r="80" spans="1:26" x14ac:dyDescent="0.15">
      <c r="A80">
        <v>16</v>
      </c>
      <c r="B80" t="s">
        <v>14</v>
      </c>
      <c r="C80" t="s">
        <v>15</v>
      </c>
      <c r="D80">
        <v>100</v>
      </c>
      <c r="E80">
        <v>500</v>
      </c>
      <c r="F80" s="3">
        <v>960.78447619369604</v>
      </c>
      <c r="G80" s="3">
        <v>16134.371552302429</v>
      </c>
      <c r="H80" s="3">
        <v>118.1221476000064</v>
      </c>
      <c r="I80">
        <v>18</v>
      </c>
      <c r="J80">
        <v>72</v>
      </c>
      <c r="K80">
        <v>428</v>
      </c>
      <c r="L80" s="4">
        <v>0.14399999999999999</v>
      </c>
      <c r="M80" s="3">
        <v>6.5795026451448813</v>
      </c>
      <c r="N80" s="3">
        <v>163.13268010070431</v>
      </c>
      <c r="O80" s="3">
        <v>53.376915344094222</v>
      </c>
      <c r="P80" s="4">
        <v>1</v>
      </c>
      <c r="Q80">
        <v>1</v>
      </c>
      <c r="R80">
        <v>8</v>
      </c>
      <c r="S80">
        <v>9</v>
      </c>
      <c r="T80">
        <v>0</v>
      </c>
      <c r="U80">
        <v>4</v>
      </c>
      <c r="V80">
        <v>32</v>
      </c>
      <c r="W80">
        <v>36</v>
      </c>
      <c r="X80">
        <v>0</v>
      </c>
      <c r="Y80" t="s">
        <v>48</v>
      </c>
    </row>
    <row r="81" spans="1:26" x14ac:dyDescent="0.15">
      <c r="A81">
        <v>16</v>
      </c>
      <c r="B81" t="s">
        <v>16</v>
      </c>
      <c r="C81" t="s">
        <v>17</v>
      </c>
      <c r="D81">
        <v>100</v>
      </c>
      <c r="E81">
        <v>444</v>
      </c>
      <c r="F81" s="3">
        <v>926.52077732719351</v>
      </c>
      <c r="G81" s="3">
        <v>16998.898600238412</v>
      </c>
      <c r="H81" s="3">
        <v>8.6108842999965418</v>
      </c>
      <c r="I81">
        <v>18</v>
      </c>
      <c r="J81">
        <v>72</v>
      </c>
      <c r="K81">
        <v>372</v>
      </c>
      <c r="L81" s="4">
        <v>0.1621621621621622</v>
      </c>
      <c r="M81" s="3">
        <v>7.0532469636451589</v>
      </c>
      <c r="N81" s="3">
        <v>162.37226134990519</v>
      </c>
      <c r="O81" s="3">
        <v>51.473376518177417</v>
      </c>
      <c r="P81" s="4">
        <v>1</v>
      </c>
      <c r="Q81">
        <v>1</v>
      </c>
      <c r="R81">
        <v>7</v>
      </c>
      <c r="S81">
        <v>10</v>
      </c>
      <c r="T81">
        <v>0</v>
      </c>
      <c r="U81">
        <v>4</v>
      </c>
      <c r="V81">
        <v>28</v>
      </c>
      <c r="W81">
        <v>40</v>
      </c>
      <c r="X81">
        <v>0</v>
      </c>
      <c r="Y81" t="s">
        <v>60</v>
      </c>
      <c r="Z81">
        <v>2059</v>
      </c>
    </row>
    <row r="82" spans="1:26" x14ac:dyDescent="0.15">
      <c r="A82">
        <v>17</v>
      </c>
      <c r="B82" t="s">
        <v>8</v>
      </c>
      <c r="C82" t="s">
        <v>9</v>
      </c>
      <c r="D82">
        <v>100</v>
      </c>
      <c r="E82">
        <v>548</v>
      </c>
      <c r="F82" s="3">
        <v>666.31506121055168</v>
      </c>
      <c r="G82" s="3">
        <v>10951.967809534</v>
      </c>
      <c r="H82" s="3">
        <v>0.1324344000022393</v>
      </c>
      <c r="I82">
        <v>18</v>
      </c>
      <c r="J82">
        <v>72</v>
      </c>
      <c r="K82">
        <v>476</v>
      </c>
      <c r="L82" s="4">
        <v>0.13138686131386859</v>
      </c>
      <c r="M82" s="3">
        <v>9.2983265321609316</v>
      </c>
      <c r="N82" s="3">
        <v>157.55836859344879</v>
      </c>
      <c r="O82" s="3">
        <v>37.017503400586207</v>
      </c>
      <c r="P82" s="4">
        <v>0.66666666666666663</v>
      </c>
      <c r="Q82">
        <v>2</v>
      </c>
      <c r="R82">
        <v>5</v>
      </c>
      <c r="S82">
        <v>5</v>
      </c>
      <c r="T82">
        <v>6</v>
      </c>
      <c r="U82">
        <v>8</v>
      </c>
      <c r="V82">
        <v>20</v>
      </c>
      <c r="W82">
        <v>20</v>
      </c>
      <c r="X82">
        <v>24</v>
      </c>
      <c r="Y82" t="s">
        <v>112</v>
      </c>
    </row>
    <row r="83" spans="1:26" x14ac:dyDescent="0.15">
      <c r="A83">
        <v>17</v>
      </c>
      <c r="B83" t="s">
        <v>10</v>
      </c>
      <c r="C83" t="s">
        <v>11</v>
      </c>
      <c r="D83">
        <v>100</v>
      </c>
      <c r="E83">
        <v>520</v>
      </c>
      <c r="F83" s="3">
        <v>1009.766552107063</v>
      </c>
      <c r="G83" s="3">
        <v>15264.57104357557</v>
      </c>
      <c r="H83" s="3">
        <v>1.2797804000001629</v>
      </c>
      <c r="I83">
        <v>19</v>
      </c>
      <c r="J83">
        <v>76</v>
      </c>
      <c r="K83">
        <v>444</v>
      </c>
      <c r="L83" s="4">
        <v>0.14615384615384619</v>
      </c>
      <c r="M83" s="3">
        <v>8.4456260939933028</v>
      </c>
      <c r="N83" s="3">
        <v>165.71227007714069</v>
      </c>
      <c r="O83" s="3">
        <v>53.145608005634919</v>
      </c>
      <c r="P83" s="4">
        <v>0.84210526315789469</v>
      </c>
      <c r="Q83">
        <v>3</v>
      </c>
      <c r="R83">
        <v>9</v>
      </c>
      <c r="S83">
        <v>4</v>
      </c>
      <c r="T83">
        <v>3</v>
      </c>
      <c r="U83">
        <v>12</v>
      </c>
      <c r="V83">
        <v>36</v>
      </c>
      <c r="W83">
        <v>16</v>
      </c>
      <c r="X83">
        <v>12</v>
      </c>
      <c r="Y83" t="s">
        <v>113</v>
      </c>
    </row>
    <row r="84" spans="1:26" x14ac:dyDescent="0.15">
      <c r="A84">
        <v>17</v>
      </c>
      <c r="B84" t="s">
        <v>12</v>
      </c>
      <c r="C84" t="s">
        <v>13</v>
      </c>
      <c r="D84">
        <v>100</v>
      </c>
      <c r="E84">
        <v>580</v>
      </c>
      <c r="F84" s="3">
        <v>1002.249497149534</v>
      </c>
      <c r="G84" s="3">
        <v>15712.18950930581</v>
      </c>
      <c r="H84" s="3">
        <v>82.423209800006589</v>
      </c>
      <c r="I84">
        <v>20</v>
      </c>
      <c r="J84">
        <v>80</v>
      </c>
      <c r="K84">
        <v>500</v>
      </c>
      <c r="L84" s="4">
        <v>0.13793103448275859</v>
      </c>
      <c r="M84" s="3">
        <v>9.7750502850465963</v>
      </c>
      <c r="N84" s="3">
        <v>164.37215373527431</v>
      </c>
      <c r="O84" s="3">
        <v>50.112474857476712</v>
      </c>
      <c r="P84" s="4">
        <v>1</v>
      </c>
      <c r="Q84">
        <v>2</v>
      </c>
      <c r="R84">
        <v>6</v>
      </c>
      <c r="S84">
        <v>12</v>
      </c>
      <c r="T84">
        <v>0</v>
      </c>
      <c r="U84">
        <v>8</v>
      </c>
      <c r="V84">
        <v>24</v>
      </c>
      <c r="W84">
        <v>48</v>
      </c>
      <c r="X84">
        <v>0</v>
      </c>
      <c r="Y84" t="s">
        <v>80</v>
      </c>
    </row>
    <row r="85" spans="1:26" x14ac:dyDescent="0.15">
      <c r="A85">
        <v>17</v>
      </c>
      <c r="B85" t="s">
        <v>14</v>
      </c>
      <c r="C85" t="s">
        <v>15</v>
      </c>
      <c r="D85">
        <v>100</v>
      </c>
      <c r="E85">
        <v>528</v>
      </c>
      <c r="F85" s="3">
        <v>1125.578884442629</v>
      </c>
      <c r="G85" s="3">
        <v>17259.950436745061</v>
      </c>
      <c r="H85" s="3">
        <v>130.89503980000151</v>
      </c>
      <c r="I85">
        <v>20</v>
      </c>
      <c r="J85">
        <v>80</v>
      </c>
      <c r="K85">
        <v>448</v>
      </c>
      <c r="L85" s="4">
        <v>0.15151515151515149</v>
      </c>
      <c r="M85" s="3">
        <v>6.4421115557370499</v>
      </c>
      <c r="N85" s="3">
        <v>164.4509937943655</v>
      </c>
      <c r="O85" s="3">
        <v>56.278944222131457</v>
      </c>
      <c r="P85" s="4">
        <v>1</v>
      </c>
      <c r="Q85">
        <v>3</v>
      </c>
      <c r="R85">
        <v>7</v>
      </c>
      <c r="S85">
        <v>10</v>
      </c>
      <c r="T85">
        <v>0</v>
      </c>
      <c r="U85">
        <v>12</v>
      </c>
      <c r="V85">
        <v>28</v>
      </c>
      <c r="W85">
        <v>40</v>
      </c>
      <c r="X85">
        <v>0</v>
      </c>
      <c r="Y85" t="s">
        <v>114</v>
      </c>
    </row>
    <row r="86" spans="1:26" x14ac:dyDescent="0.15">
      <c r="A86">
        <v>17</v>
      </c>
      <c r="B86" t="s">
        <v>16</v>
      </c>
      <c r="C86" t="s">
        <v>17</v>
      </c>
      <c r="D86">
        <v>100</v>
      </c>
      <c r="E86">
        <v>472</v>
      </c>
      <c r="F86" s="3">
        <v>1107.2430192212139</v>
      </c>
      <c r="G86" s="3">
        <v>18106.14161945962</v>
      </c>
      <c r="H86" s="3">
        <v>13.00229230000696</v>
      </c>
      <c r="I86">
        <v>20</v>
      </c>
      <c r="J86">
        <v>80</v>
      </c>
      <c r="K86">
        <v>392</v>
      </c>
      <c r="L86" s="4">
        <v>0.16949152542372881</v>
      </c>
      <c r="M86" s="3">
        <v>8.2756980778786442</v>
      </c>
      <c r="N86" s="3">
        <v>164.179841930062</v>
      </c>
      <c r="O86" s="3">
        <v>55.362150961060692</v>
      </c>
      <c r="P86" s="4">
        <v>1</v>
      </c>
      <c r="Q86">
        <v>3</v>
      </c>
      <c r="R86">
        <v>7</v>
      </c>
      <c r="S86">
        <v>10</v>
      </c>
      <c r="T86">
        <v>0</v>
      </c>
      <c r="U86">
        <v>12</v>
      </c>
      <c r="V86">
        <v>28</v>
      </c>
      <c r="W86">
        <v>40</v>
      </c>
      <c r="X86">
        <v>0</v>
      </c>
      <c r="Y86" t="s">
        <v>114</v>
      </c>
      <c r="Z86">
        <v>2163</v>
      </c>
    </row>
    <row r="87" spans="1:26" x14ac:dyDescent="0.15">
      <c r="A87">
        <v>18</v>
      </c>
      <c r="B87" t="s">
        <v>8</v>
      </c>
      <c r="C87" t="s">
        <v>9</v>
      </c>
      <c r="D87">
        <v>100</v>
      </c>
      <c r="E87">
        <v>576</v>
      </c>
      <c r="F87" s="3">
        <v>648.11255260358757</v>
      </c>
      <c r="G87" s="3">
        <v>11600.080362137591</v>
      </c>
      <c r="H87" s="3">
        <v>9.8375799992936663E-2</v>
      </c>
      <c r="I87">
        <v>18</v>
      </c>
      <c r="J87">
        <v>72</v>
      </c>
      <c r="K87">
        <v>504</v>
      </c>
      <c r="L87" s="4">
        <v>0.125</v>
      </c>
      <c r="M87" s="3">
        <v>11.320827488490259</v>
      </c>
      <c r="N87" s="3">
        <v>157.86162305322989</v>
      </c>
      <c r="O87" s="3">
        <v>36.006252922421531</v>
      </c>
      <c r="P87" s="4">
        <v>0.66666666666666663</v>
      </c>
      <c r="Q87">
        <v>3</v>
      </c>
      <c r="R87">
        <v>3</v>
      </c>
      <c r="S87">
        <v>6</v>
      </c>
      <c r="T87">
        <v>6</v>
      </c>
      <c r="U87">
        <v>12</v>
      </c>
      <c r="V87">
        <v>12</v>
      </c>
      <c r="W87">
        <v>24</v>
      </c>
      <c r="X87">
        <v>24</v>
      </c>
      <c r="Y87" t="s">
        <v>115</v>
      </c>
    </row>
    <row r="88" spans="1:26" x14ac:dyDescent="0.15">
      <c r="A88">
        <v>18</v>
      </c>
      <c r="B88" t="s">
        <v>10</v>
      </c>
      <c r="C88" t="s">
        <v>11</v>
      </c>
      <c r="D88">
        <v>100</v>
      </c>
      <c r="E88">
        <v>544</v>
      </c>
      <c r="F88" s="3">
        <v>827.58623979647666</v>
      </c>
      <c r="G88" s="3">
        <v>16092.157283372049</v>
      </c>
      <c r="H88" s="3">
        <v>1.0352993999986211</v>
      </c>
      <c r="I88">
        <v>18</v>
      </c>
      <c r="J88">
        <v>72</v>
      </c>
      <c r="K88">
        <v>472</v>
      </c>
      <c r="L88" s="4">
        <v>0.13235294117647059</v>
      </c>
      <c r="M88" s="3">
        <v>4.7126400226137024</v>
      </c>
      <c r="N88" s="3">
        <v>161.73181312969771</v>
      </c>
      <c r="O88" s="3">
        <v>45.97701332202648</v>
      </c>
      <c r="P88" s="4">
        <v>0.83333333333333337</v>
      </c>
      <c r="Q88">
        <v>1</v>
      </c>
      <c r="R88">
        <v>7</v>
      </c>
      <c r="S88">
        <v>7</v>
      </c>
      <c r="T88">
        <v>3</v>
      </c>
      <c r="U88">
        <v>4</v>
      </c>
      <c r="V88">
        <v>28</v>
      </c>
      <c r="W88">
        <v>28</v>
      </c>
      <c r="X88">
        <v>12</v>
      </c>
      <c r="Y88" t="s">
        <v>116</v>
      </c>
    </row>
    <row r="89" spans="1:26" x14ac:dyDescent="0.15">
      <c r="A89">
        <v>18</v>
      </c>
      <c r="B89" t="s">
        <v>12</v>
      </c>
      <c r="C89" t="s">
        <v>13</v>
      </c>
      <c r="D89">
        <v>100</v>
      </c>
      <c r="E89">
        <v>600</v>
      </c>
      <c r="F89" s="3">
        <v>931.55421618001026</v>
      </c>
      <c r="G89" s="3">
        <v>16643.74372548582</v>
      </c>
      <c r="H89" s="3">
        <v>89.113480400003027</v>
      </c>
      <c r="I89">
        <v>19</v>
      </c>
      <c r="J89">
        <v>76</v>
      </c>
      <c r="K89">
        <v>524</v>
      </c>
      <c r="L89" s="4">
        <v>0.12666666666666671</v>
      </c>
      <c r="M89" s="3">
        <v>10.3627140863147</v>
      </c>
      <c r="N89" s="3">
        <v>163.02932344916559</v>
      </c>
      <c r="O89" s="3">
        <v>49.029169272632117</v>
      </c>
      <c r="P89" s="4">
        <v>1</v>
      </c>
      <c r="Q89">
        <v>1</v>
      </c>
      <c r="R89">
        <v>7</v>
      </c>
      <c r="S89">
        <v>11</v>
      </c>
      <c r="T89">
        <v>0</v>
      </c>
      <c r="U89">
        <v>4</v>
      </c>
      <c r="V89">
        <v>28</v>
      </c>
      <c r="W89">
        <v>44</v>
      </c>
      <c r="X89">
        <v>0</v>
      </c>
      <c r="Y89" t="s">
        <v>57</v>
      </c>
    </row>
    <row r="90" spans="1:26" x14ac:dyDescent="0.15">
      <c r="A90">
        <v>18</v>
      </c>
      <c r="B90" t="s">
        <v>14</v>
      </c>
      <c r="C90" t="s">
        <v>15</v>
      </c>
      <c r="D90">
        <v>100</v>
      </c>
      <c r="E90">
        <v>548</v>
      </c>
      <c r="F90" s="3">
        <v>1047.994454280858</v>
      </c>
      <c r="G90" s="3">
        <v>18307.94489102592</v>
      </c>
      <c r="H90" s="3">
        <v>142.53227580001109</v>
      </c>
      <c r="I90">
        <v>19</v>
      </c>
      <c r="J90">
        <v>76</v>
      </c>
      <c r="K90">
        <v>472</v>
      </c>
      <c r="L90" s="4">
        <v>0.13868613138686131</v>
      </c>
      <c r="M90" s="3">
        <v>4.421636391488633</v>
      </c>
      <c r="N90" s="3">
        <v>163.4377332094117</v>
      </c>
      <c r="O90" s="3">
        <v>55.157602856887252</v>
      </c>
      <c r="P90" s="4">
        <v>1</v>
      </c>
      <c r="Q90">
        <v>2</v>
      </c>
      <c r="R90">
        <v>7</v>
      </c>
      <c r="S90">
        <v>10</v>
      </c>
      <c r="T90">
        <v>0</v>
      </c>
      <c r="U90">
        <v>8</v>
      </c>
      <c r="V90">
        <v>28</v>
      </c>
      <c r="W90">
        <v>40</v>
      </c>
      <c r="X90">
        <v>0</v>
      </c>
      <c r="Y90" t="s">
        <v>97</v>
      </c>
    </row>
    <row r="91" spans="1:26" x14ac:dyDescent="0.15">
      <c r="A91">
        <v>18</v>
      </c>
      <c r="B91" t="s">
        <v>16</v>
      </c>
      <c r="C91" t="s">
        <v>17</v>
      </c>
      <c r="D91">
        <v>100</v>
      </c>
      <c r="E91">
        <v>492</v>
      </c>
      <c r="F91" s="3">
        <v>1107.1454052490919</v>
      </c>
      <c r="G91" s="3">
        <v>19213.287024708719</v>
      </c>
      <c r="H91" s="3">
        <v>35.450215399992892</v>
      </c>
      <c r="I91">
        <v>20</v>
      </c>
      <c r="J91">
        <v>80</v>
      </c>
      <c r="K91">
        <v>412</v>
      </c>
      <c r="L91" s="4">
        <v>0.16260162601626019</v>
      </c>
      <c r="M91" s="3">
        <v>8.2854594750907786</v>
      </c>
      <c r="N91" s="3">
        <v>162.74294837106689</v>
      </c>
      <c r="O91" s="3">
        <v>55.357270262454612</v>
      </c>
      <c r="P91" s="4">
        <v>1</v>
      </c>
      <c r="Q91">
        <v>3</v>
      </c>
      <c r="R91">
        <v>7</v>
      </c>
      <c r="S91">
        <v>10</v>
      </c>
      <c r="T91">
        <v>0</v>
      </c>
      <c r="U91">
        <v>12</v>
      </c>
      <c r="V91">
        <v>28</v>
      </c>
      <c r="W91">
        <v>40</v>
      </c>
      <c r="X91">
        <v>0</v>
      </c>
      <c r="Y91" t="s">
        <v>114</v>
      </c>
      <c r="Z91">
        <v>2102</v>
      </c>
    </row>
    <row r="92" spans="1:26" x14ac:dyDescent="0.15">
      <c r="A92">
        <v>19</v>
      </c>
      <c r="B92" t="s">
        <v>8</v>
      </c>
      <c r="C92" t="s">
        <v>9</v>
      </c>
      <c r="D92">
        <v>100</v>
      </c>
      <c r="E92">
        <v>604</v>
      </c>
      <c r="F92" s="3">
        <v>615.22637728955965</v>
      </c>
      <c r="G92" s="3">
        <v>12215.306739427149</v>
      </c>
      <c r="H92" s="3">
        <v>0.1698866999940947</v>
      </c>
      <c r="I92">
        <v>17</v>
      </c>
      <c r="J92">
        <v>68</v>
      </c>
      <c r="K92">
        <v>536</v>
      </c>
      <c r="L92" s="4">
        <v>0.11258278145695361</v>
      </c>
      <c r="M92" s="3">
        <v>8.7968967894635703</v>
      </c>
      <c r="N92" s="3">
        <v>159.0410150316886</v>
      </c>
      <c r="O92" s="3">
        <v>36.189786899385872</v>
      </c>
      <c r="P92" s="4">
        <v>0.70588235294117652</v>
      </c>
      <c r="Q92">
        <v>0</v>
      </c>
      <c r="R92">
        <v>7</v>
      </c>
      <c r="S92">
        <v>5</v>
      </c>
      <c r="T92">
        <v>5</v>
      </c>
      <c r="U92">
        <v>0</v>
      </c>
      <c r="V92">
        <v>28</v>
      </c>
      <c r="W92">
        <v>20</v>
      </c>
      <c r="X92">
        <v>20</v>
      </c>
      <c r="Y92" t="s">
        <v>117</v>
      </c>
    </row>
    <row r="93" spans="1:26" x14ac:dyDescent="0.15">
      <c r="A93">
        <v>19</v>
      </c>
      <c r="B93" t="s">
        <v>10</v>
      </c>
      <c r="C93" t="s">
        <v>11</v>
      </c>
      <c r="D93">
        <v>100</v>
      </c>
      <c r="E93">
        <v>572</v>
      </c>
      <c r="F93" s="3">
        <v>811.42786274405057</v>
      </c>
      <c r="G93" s="3">
        <v>16903.5851461161</v>
      </c>
      <c r="H93" s="3">
        <v>1.172690599996713</v>
      </c>
      <c r="I93">
        <v>17</v>
      </c>
      <c r="J93">
        <v>68</v>
      </c>
      <c r="K93">
        <v>504</v>
      </c>
      <c r="L93" s="4">
        <v>0.11888111888111889</v>
      </c>
      <c r="M93" s="3">
        <v>5.7143690889352303</v>
      </c>
      <c r="N93" s="3">
        <v>161.0359971908523</v>
      </c>
      <c r="O93" s="3">
        <v>47.731050749650031</v>
      </c>
      <c r="P93" s="4">
        <v>0.82352941176470584</v>
      </c>
      <c r="Q93">
        <v>0</v>
      </c>
      <c r="R93">
        <v>10</v>
      </c>
      <c r="S93">
        <v>4</v>
      </c>
      <c r="T93">
        <v>3</v>
      </c>
      <c r="U93">
        <v>0</v>
      </c>
      <c r="V93">
        <v>40</v>
      </c>
      <c r="W93">
        <v>16</v>
      </c>
      <c r="X93">
        <v>12</v>
      </c>
      <c r="Y93" t="s">
        <v>118</v>
      </c>
    </row>
    <row r="94" spans="1:26" x14ac:dyDescent="0.15">
      <c r="A94">
        <v>19</v>
      </c>
      <c r="B94" t="s">
        <v>12</v>
      </c>
      <c r="C94" t="s">
        <v>13</v>
      </c>
      <c r="D94">
        <v>100</v>
      </c>
      <c r="E94">
        <v>624</v>
      </c>
      <c r="F94" s="3">
        <v>623.09748926321299</v>
      </c>
      <c r="G94" s="3">
        <v>17266.841214749042</v>
      </c>
      <c r="H94" s="3">
        <v>100.209614700012</v>
      </c>
      <c r="I94">
        <v>15</v>
      </c>
      <c r="J94">
        <v>60</v>
      </c>
      <c r="K94">
        <v>564</v>
      </c>
      <c r="L94" s="4">
        <v>9.6153846153846159E-2</v>
      </c>
      <c r="M94" s="3">
        <v>8.9203347649049256</v>
      </c>
      <c r="N94" s="3">
        <v>158.74635333100821</v>
      </c>
      <c r="O94" s="3">
        <v>41.539832617547532</v>
      </c>
      <c r="P94" s="4">
        <v>1</v>
      </c>
      <c r="Q94">
        <v>0</v>
      </c>
      <c r="R94">
        <v>3</v>
      </c>
      <c r="S94">
        <v>12</v>
      </c>
      <c r="T94">
        <v>0</v>
      </c>
      <c r="U94">
        <v>0</v>
      </c>
      <c r="V94">
        <v>12</v>
      </c>
      <c r="W94">
        <v>48</v>
      </c>
      <c r="X94">
        <v>0</v>
      </c>
      <c r="Y94" t="s">
        <v>119</v>
      </c>
    </row>
    <row r="95" spans="1:26" x14ac:dyDescent="0.15">
      <c r="A95">
        <v>19</v>
      </c>
      <c r="B95" t="s">
        <v>14</v>
      </c>
      <c r="C95" t="s">
        <v>15</v>
      </c>
      <c r="D95">
        <v>100</v>
      </c>
      <c r="E95">
        <v>572</v>
      </c>
      <c r="F95" s="3">
        <v>1090.3537013524849</v>
      </c>
      <c r="G95" s="3">
        <v>19398.2985923784</v>
      </c>
      <c r="H95" s="3">
        <v>149.51208699999549</v>
      </c>
      <c r="I95">
        <v>20</v>
      </c>
      <c r="J95">
        <v>80</v>
      </c>
      <c r="K95">
        <v>492</v>
      </c>
      <c r="L95" s="4">
        <v>0.1398601398601399</v>
      </c>
      <c r="M95" s="3">
        <v>6.9646298647514886</v>
      </c>
      <c r="N95" s="3">
        <v>164.65956044737209</v>
      </c>
      <c r="O95" s="3">
        <v>54.517685067624257</v>
      </c>
      <c r="P95" s="4">
        <v>1</v>
      </c>
      <c r="Q95">
        <v>2</v>
      </c>
      <c r="R95">
        <v>8</v>
      </c>
      <c r="S95">
        <v>10</v>
      </c>
      <c r="T95">
        <v>0</v>
      </c>
      <c r="U95">
        <v>8</v>
      </c>
      <c r="V95">
        <v>32</v>
      </c>
      <c r="W95">
        <v>40</v>
      </c>
      <c r="X95">
        <v>0</v>
      </c>
      <c r="Y95" t="s">
        <v>120</v>
      </c>
    </row>
    <row r="96" spans="1:26" x14ac:dyDescent="0.15">
      <c r="A96">
        <v>19</v>
      </c>
      <c r="B96" t="s">
        <v>16</v>
      </c>
      <c r="C96" t="s">
        <v>17</v>
      </c>
      <c r="D96">
        <v>100</v>
      </c>
      <c r="E96">
        <v>512</v>
      </c>
      <c r="F96" s="3">
        <v>1075.522536536967</v>
      </c>
      <c r="G96" s="3">
        <v>20288.809561245678</v>
      </c>
      <c r="H96" s="3">
        <v>9.9959315999876708</v>
      </c>
      <c r="I96">
        <v>20</v>
      </c>
      <c r="J96">
        <v>80</v>
      </c>
      <c r="K96">
        <v>432</v>
      </c>
      <c r="L96" s="4">
        <v>0.15625</v>
      </c>
      <c r="M96" s="3">
        <v>5.4477463463033189</v>
      </c>
      <c r="N96" s="3">
        <v>162.61645369564951</v>
      </c>
      <c r="O96" s="3">
        <v>53.776126826848341</v>
      </c>
      <c r="P96" s="4">
        <v>1</v>
      </c>
      <c r="Q96">
        <v>1</v>
      </c>
      <c r="R96">
        <v>9</v>
      </c>
      <c r="S96">
        <v>10</v>
      </c>
      <c r="T96">
        <v>0</v>
      </c>
      <c r="U96">
        <v>4</v>
      </c>
      <c r="V96">
        <v>36</v>
      </c>
      <c r="W96">
        <v>40</v>
      </c>
      <c r="X96">
        <v>0</v>
      </c>
      <c r="Y96" t="s">
        <v>105</v>
      </c>
      <c r="Z96">
        <v>2023</v>
      </c>
    </row>
    <row r="97" spans="1:26" x14ac:dyDescent="0.15">
      <c r="A97">
        <v>20</v>
      </c>
      <c r="B97" t="s">
        <v>8</v>
      </c>
      <c r="C97" t="s">
        <v>9</v>
      </c>
      <c r="D97">
        <v>100</v>
      </c>
      <c r="E97">
        <v>636</v>
      </c>
      <c r="F97" s="3">
        <v>606.85986683544661</v>
      </c>
      <c r="G97" s="3">
        <v>12822.16660626259</v>
      </c>
      <c r="H97" s="3">
        <v>9.5676299999468029E-2</v>
      </c>
      <c r="I97">
        <v>15</v>
      </c>
      <c r="J97">
        <v>60</v>
      </c>
      <c r="K97">
        <v>576</v>
      </c>
      <c r="L97" s="4">
        <v>9.4339622641509441E-2</v>
      </c>
      <c r="M97" s="3">
        <v>7.08535108860712</v>
      </c>
      <c r="N97" s="3">
        <v>160.37795501222959</v>
      </c>
      <c r="O97" s="3">
        <v>40.457324455696437</v>
      </c>
      <c r="P97" s="4">
        <v>0.8</v>
      </c>
      <c r="Q97">
        <v>1</v>
      </c>
      <c r="R97">
        <v>4</v>
      </c>
      <c r="S97">
        <v>7</v>
      </c>
      <c r="T97">
        <v>3</v>
      </c>
      <c r="U97">
        <v>4</v>
      </c>
      <c r="V97">
        <v>16</v>
      </c>
      <c r="W97">
        <v>28</v>
      </c>
      <c r="X97">
        <v>12</v>
      </c>
      <c r="Y97" t="s">
        <v>121</v>
      </c>
    </row>
    <row r="98" spans="1:26" x14ac:dyDescent="0.15">
      <c r="A98">
        <v>20</v>
      </c>
      <c r="B98" t="s">
        <v>10</v>
      </c>
      <c r="C98" t="s">
        <v>11</v>
      </c>
      <c r="D98">
        <v>100</v>
      </c>
      <c r="E98">
        <v>604</v>
      </c>
      <c r="F98" s="3">
        <v>765.21131264804183</v>
      </c>
      <c r="G98" s="3">
        <v>17668.79645876414</v>
      </c>
      <c r="H98" s="3">
        <v>1.2923898000008189</v>
      </c>
      <c r="I98">
        <v>18</v>
      </c>
      <c r="J98">
        <v>72</v>
      </c>
      <c r="K98">
        <v>532</v>
      </c>
      <c r="L98" s="4">
        <v>0.119205298013245</v>
      </c>
      <c r="M98" s="3">
        <v>6.0876319279953579</v>
      </c>
      <c r="N98" s="3">
        <v>161.14922433455251</v>
      </c>
      <c r="O98" s="3">
        <v>42.511739591557877</v>
      </c>
      <c r="P98" s="4">
        <v>0.72222222222222221</v>
      </c>
      <c r="Q98">
        <v>1</v>
      </c>
      <c r="R98">
        <v>8</v>
      </c>
      <c r="S98">
        <v>4</v>
      </c>
      <c r="T98">
        <v>5</v>
      </c>
      <c r="U98">
        <v>4</v>
      </c>
      <c r="V98">
        <v>32</v>
      </c>
      <c r="W98">
        <v>16</v>
      </c>
      <c r="X98">
        <v>20</v>
      </c>
      <c r="Y98" t="s">
        <v>122</v>
      </c>
    </row>
    <row r="99" spans="1:26" x14ac:dyDescent="0.15">
      <c r="A99">
        <v>20</v>
      </c>
      <c r="B99" t="s">
        <v>12</v>
      </c>
      <c r="C99" t="s">
        <v>13</v>
      </c>
      <c r="D99">
        <v>100</v>
      </c>
      <c r="E99">
        <v>664</v>
      </c>
      <c r="F99" s="3">
        <v>912.27820031925557</v>
      </c>
      <c r="G99" s="3">
        <v>18179.11941506829</v>
      </c>
      <c r="H99" s="3">
        <v>107.88006380001021</v>
      </c>
      <c r="I99">
        <v>18</v>
      </c>
      <c r="J99">
        <v>72</v>
      </c>
      <c r="K99">
        <v>592</v>
      </c>
      <c r="L99" s="4">
        <v>0.108433734939759</v>
      </c>
      <c r="M99" s="3">
        <v>8.6357555200826983</v>
      </c>
      <c r="N99" s="3">
        <v>164.6758927932888</v>
      </c>
      <c r="O99" s="3">
        <v>50.682122239958638</v>
      </c>
      <c r="P99" s="4">
        <v>1</v>
      </c>
      <c r="Q99">
        <v>1</v>
      </c>
      <c r="R99">
        <v>7</v>
      </c>
      <c r="S99">
        <v>10</v>
      </c>
      <c r="T99">
        <v>0</v>
      </c>
      <c r="U99">
        <v>4</v>
      </c>
      <c r="V99">
        <v>28</v>
      </c>
      <c r="W99">
        <v>40</v>
      </c>
      <c r="X99">
        <v>0</v>
      </c>
      <c r="Y99" t="s">
        <v>60</v>
      </c>
    </row>
    <row r="100" spans="1:26" x14ac:dyDescent="0.15">
      <c r="A100">
        <v>20</v>
      </c>
      <c r="B100" t="s">
        <v>14</v>
      </c>
      <c r="C100" t="s">
        <v>15</v>
      </c>
      <c r="D100">
        <v>100</v>
      </c>
      <c r="E100">
        <v>592</v>
      </c>
      <c r="F100" s="3">
        <v>1005.037601418932</v>
      </c>
      <c r="G100" s="3">
        <v>20403.336193797331</v>
      </c>
      <c r="H100" s="3">
        <v>159.41619759998869</v>
      </c>
      <c r="I100">
        <v>19</v>
      </c>
      <c r="J100">
        <v>76</v>
      </c>
      <c r="K100">
        <v>516</v>
      </c>
      <c r="L100" s="4">
        <v>0.1283783783783784</v>
      </c>
      <c r="M100" s="3">
        <v>5.7855156401123828</v>
      </c>
      <c r="N100" s="3">
        <v>162.01121606053769</v>
      </c>
      <c r="O100" s="3">
        <v>52.896715864154338</v>
      </c>
      <c r="P100" s="4">
        <v>1</v>
      </c>
      <c r="Q100">
        <v>1</v>
      </c>
      <c r="R100">
        <v>8</v>
      </c>
      <c r="S100">
        <v>10</v>
      </c>
      <c r="T100">
        <v>0</v>
      </c>
      <c r="U100">
        <v>4</v>
      </c>
      <c r="V100">
        <v>32</v>
      </c>
      <c r="W100">
        <v>40</v>
      </c>
      <c r="X100">
        <v>0</v>
      </c>
      <c r="Y100" t="s">
        <v>123</v>
      </c>
    </row>
    <row r="101" spans="1:26" x14ac:dyDescent="0.15">
      <c r="A101">
        <v>20</v>
      </c>
      <c r="B101" t="s">
        <v>16</v>
      </c>
      <c r="C101" t="s">
        <v>17</v>
      </c>
      <c r="D101">
        <v>100</v>
      </c>
      <c r="E101">
        <v>532</v>
      </c>
      <c r="F101" s="3">
        <v>865.42544977698731</v>
      </c>
      <c r="G101" s="3">
        <v>21154.235011022669</v>
      </c>
      <c r="H101" s="3">
        <v>3.7095058000122658</v>
      </c>
      <c r="I101">
        <v>16</v>
      </c>
      <c r="J101">
        <v>64</v>
      </c>
      <c r="K101">
        <v>468</v>
      </c>
      <c r="L101" s="4">
        <v>0.1203007518796992</v>
      </c>
      <c r="M101" s="3">
        <v>5.5718187778765973</v>
      </c>
      <c r="N101" s="3">
        <v>164.33605773434559</v>
      </c>
      <c r="O101" s="3">
        <v>54.089090611061707</v>
      </c>
      <c r="P101" s="4">
        <v>1</v>
      </c>
      <c r="Q101">
        <v>0</v>
      </c>
      <c r="R101">
        <v>9</v>
      </c>
      <c r="S101">
        <v>7</v>
      </c>
      <c r="T101">
        <v>0</v>
      </c>
      <c r="U101">
        <v>0</v>
      </c>
      <c r="V101">
        <v>36</v>
      </c>
      <c r="W101">
        <v>28</v>
      </c>
      <c r="X101">
        <v>0</v>
      </c>
      <c r="Y101" t="s">
        <v>124</v>
      </c>
      <c r="Z101">
        <v>1797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"/>
  <sheetViews>
    <sheetView workbookViewId="0"/>
  </sheetViews>
  <sheetFormatPr defaultRowHeight="13.5" x14ac:dyDescent="0.15"/>
  <cols>
    <col min="1" max="1" width="24" customWidth="1"/>
    <col min="2" max="2" width="20" customWidth="1"/>
    <col min="3" max="3" width="18" customWidth="1"/>
    <col min="4" max="4" width="29.5" bestFit="1" customWidth="1"/>
    <col min="5" max="5" width="16" customWidth="1"/>
    <col min="6" max="7" width="14" customWidth="1"/>
    <col min="8" max="8" width="16" customWidth="1"/>
    <col min="9" max="13" width="14" customWidth="1"/>
  </cols>
  <sheetData>
    <row r="1" spans="1:13" x14ac:dyDescent="0.15">
      <c r="A1" s="2" t="s">
        <v>19</v>
      </c>
      <c r="B1" s="2" t="s">
        <v>20</v>
      </c>
      <c r="C1" s="2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130</v>
      </c>
      <c r="I1" s="2" t="s">
        <v>131</v>
      </c>
      <c r="J1" s="2" t="s">
        <v>132</v>
      </c>
      <c r="K1" s="2" t="s">
        <v>133</v>
      </c>
      <c r="L1" s="2" t="s">
        <v>134</v>
      </c>
      <c r="M1" s="2" t="s">
        <v>135</v>
      </c>
    </row>
    <row r="2" spans="1:13" x14ac:dyDescent="0.15">
      <c r="A2" t="s">
        <v>8</v>
      </c>
      <c r="B2" t="s">
        <v>9</v>
      </c>
      <c r="C2" s="3">
        <f>SUMIFS(Round_Results!$F:$F,Round_Results!$B:$B,$A2)</f>
        <v>12822.166606262592</v>
      </c>
      <c r="D2" s="3" t="e">
        <f ca="1">_xludf.MAXIFS(Round_Results!$G:$G,Round_Results!$B:$B,$A2)</f>
        <v>#NAME?</v>
      </c>
      <c r="E2" s="3">
        <f>SUMIFS(Round_Results!$H:$H,Round_Results!$B:$B,$A2)</f>
        <v>2.6448638000147184</v>
      </c>
      <c r="F2" s="3">
        <f>AVERAGEIFS(Round_Results!$H:$H,Round_Results!$B:$B,$A2)</f>
        <v>0.13224319000073592</v>
      </c>
      <c r="G2" s="3">
        <f>SUMIFS(Round_Results!$I:$I,Round_Results!$B:$B,$A2)</f>
        <v>356</v>
      </c>
      <c r="H2" s="3">
        <f>SUMIFS(Round_Results!$J:$J,Round_Results!$B:$B,$A2)</f>
        <v>1424</v>
      </c>
      <c r="I2" s="3" t="e">
        <f ca="1">_xludf.MAXIFS(Round_Results!$K:$K,Round_Results!$B:$B,$A2,Round_Results!$A:$A,20)</f>
        <v>#NAME?</v>
      </c>
      <c r="J2" s="3">
        <f>SUMIFS(Round_Results!$U:$U,Round_Results!$B:$B,$A2)</f>
        <v>96</v>
      </c>
      <c r="K2" s="3">
        <f>SUMIFS(Round_Results!$V:$V,Round_Results!$B:$B,$A2)</f>
        <v>388</v>
      </c>
      <c r="L2" s="3">
        <f>SUMIFS(Round_Results!$W:$W,Round_Results!$B:$B,$A2)</f>
        <v>520</v>
      </c>
      <c r="M2" s="3">
        <f>SUMIFS(Round_Results!$X:$X,Round_Results!$B:$B,$A2)</f>
        <v>420</v>
      </c>
    </row>
    <row r="3" spans="1:13" x14ac:dyDescent="0.15">
      <c r="A3" t="s">
        <v>10</v>
      </c>
      <c r="B3" t="s">
        <v>11</v>
      </c>
      <c r="C3" s="3">
        <f>SUMIFS(Round_Results!$F:$F,Round_Results!$B:$B,$A3)</f>
        <v>17668.796458764144</v>
      </c>
      <c r="D3" s="3" t="e">
        <f ca="1">_xludf.MAXIFS(Round_Results!$G:$G,Round_Results!$B:$B,$A3)</f>
        <v>#NAME?</v>
      </c>
      <c r="E3" s="3">
        <f>SUMIFS(Round_Results!$H:$H,Round_Results!$B:$B,$A3)</f>
        <v>18.189670799998567</v>
      </c>
      <c r="F3" s="3">
        <f>AVERAGEIFS(Round_Results!$H:$H,Round_Results!$B:$B,$A3)</f>
        <v>0.90948353999992837</v>
      </c>
      <c r="G3" s="3">
        <f>SUMIFS(Round_Results!$I:$I,Round_Results!$B:$B,$A3)</f>
        <v>367</v>
      </c>
      <c r="H3" s="3">
        <f>SUMIFS(Round_Results!$J:$J,Round_Results!$B:$B,$A3)</f>
        <v>1468</v>
      </c>
      <c r="I3" s="3" t="e">
        <f ca="1">_xludf.MAXIFS(Round_Results!$K:$K,Round_Results!$B:$B,$A3,Round_Results!$A:$A,20)</f>
        <v>#NAME?</v>
      </c>
      <c r="J3" s="3">
        <f>SUMIFS(Round_Results!$U:$U,Round_Results!$B:$B,$A3)</f>
        <v>132</v>
      </c>
      <c r="K3" s="3">
        <f>SUMIFS(Round_Results!$V:$V,Round_Results!$B:$B,$A3)</f>
        <v>576</v>
      </c>
      <c r="L3" s="3">
        <f>SUMIFS(Round_Results!$W:$W,Round_Results!$B:$B,$A3)</f>
        <v>528</v>
      </c>
      <c r="M3" s="3">
        <f>SUMIFS(Round_Results!$X:$X,Round_Results!$B:$B,$A3)</f>
        <v>232</v>
      </c>
    </row>
    <row r="4" spans="1:13" x14ac:dyDescent="0.15">
      <c r="A4" t="s">
        <v>12</v>
      </c>
      <c r="B4" t="s">
        <v>13</v>
      </c>
      <c r="C4" s="3">
        <f>SUMIFS(Round_Results!$F:$F,Round_Results!$B:$B,$A4)</f>
        <v>18179.119415068293</v>
      </c>
      <c r="D4" s="3" t="e">
        <f ca="1">_xludf.MAXIFS(Round_Results!$G:$G,Round_Results!$B:$B,$A4)</f>
        <v>#NAME?</v>
      </c>
      <c r="E4" s="3">
        <f>SUMIFS(Round_Results!$H:$H,Round_Results!$B:$B,$A4)</f>
        <v>1096.3766883000353</v>
      </c>
      <c r="F4" s="3">
        <f>AVERAGEIFS(Round_Results!$H:$H,Round_Results!$B:$B,$A4)</f>
        <v>54.818834415001767</v>
      </c>
      <c r="G4" s="3">
        <f>SUMIFS(Round_Results!$I:$I,Round_Results!$B:$B,$A4)</f>
        <v>352</v>
      </c>
      <c r="H4" s="3">
        <f>SUMIFS(Round_Results!$J:$J,Round_Results!$B:$B,$A4)</f>
        <v>1408</v>
      </c>
      <c r="I4" s="3" t="e">
        <f ca="1">_xludf.MAXIFS(Round_Results!$K:$K,Round_Results!$B:$B,$A4,Round_Results!$A:$A,20)</f>
        <v>#NAME?</v>
      </c>
      <c r="J4" s="3">
        <f>SUMIFS(Round_Results!$U:$U,Round_Results!$B:$B,$A4)</f>
        <v>132</v>
      </c>
      <c r="K4" s="3">
        <f>SUMIFS(Round_Results!$V:$V,Round_Results!$B:$B,$A4)</f>
        <v>504</v>
      </c>
      <c r="L4" s="3">
        <f>SUMIFS(Round_Results!$W:$W,Round_Results!$B:$B,$A4)</f>
        <v>772</v>
      </c>
      <c r="M4" s="3">
        <f>SUMIFS(Round_Results!$X:$X,Round_Results!$B:$B,$A4)</f>
        <v>0</v>
      </c>
    </row>
    <row r="5" spans="1:13" x14ac:dyDescent="0.15">
      <c r="A5" t="s">
        <v>14</v>
      </c>
      <c r="B5" t="s">
        <v>15</v>
      </c>
      <c r="C5" s="3">
        <f>SUMIFS(Round_Results!$F:$F,Round_Results!$B:$B,$A5)</f>
        <v>20403.336193797335</v>
      </c>
      <c r="D5" s="3" t="e">
        <f ca="1">_xludf.MAXIFS(Round_Results!$G:$G,Round_Results!$B:$B,$A5)</f>
        <v>#NAME?</v>
      </c>
      <c r="E5" s="3">
        <f>SUMIFS(Round_Results!$H:$H,Round_Results!$B:$B,$A5)</f>
        <v>1336.3811236999754</v>
      </c>
      <c r="F5" s="3">
        <f>AVERAGEIFS(Round_Results!$H:$H,Round_Results!$B:$B,$A5)</f>
        <v>66.819056184998772</v>
      </c>
      <c r="G5" s="3">
        <f>SUMIFS(Round_Results!$I:$I,Round_Results!$B:$B,$A5)</f>
        <v>371</v>
      </c>
      <c r="H5" s="3">
        <f>SUMIFS(Round_Results!$J:$J,Round_Results!$B:$B,$A5)</f>
        <v>1484</v>
      </c>
      <c r="I5" s="3" t="e">
        <f ca="1">_xludf.MAXIFS(Round_Results!$K:$K,Round_Results!$B:$B,$A5,Round_Results!$A:$A,20)</f>
        <v>#NAME?</v>
      </c>
      <c r="J5" s="3">
        <f>SUMIFS(Round_Results!$U:$U,Round_Results!$B:$B,$A5)</f>
        <v>164</v>
      </c>
      <c r="K5" s="3">
        <f>SUMIFS(Round_Results!$V:$V,Round_Results!$B:$B,$A5)</f>
        <v>584</v>
      </c>
      <c r="L5" s="3">
        <f>SUMIFS(Round_Results!$W:$W,Round_Results!$B:$B,$A5)</f>
        <v>732</v>
      </c>
      <c r="M5" s="3">
        <f>SUMIFS(Round_Results!$X:$X,Round_Results!$B:$B,$A5)</f>
        <v>4</v>
      </c>
    </row>
    <row r="6" spans="1:13" x14ac:dyDescent="0.15">
      <c r="A6" t="s">
        <v>16</v>
      </c>
      <c r="B6" t="s">
        <v>17</v>
      </c>
      <c r="C6" s="3">
        <f>SUMIFS(Round_Results!$F:$F,Round_Results!$B:$B,$A6)</f>
        <v>21154.235011022669</v>
      </c>
      <c r="D6" s="3" t="e">
        <f ca="1">_xludf.MAXIFS(Round_Results!$G:$G,Round_Results!$B:$B,$A6)</f>
        <v>#NAME?</v>
      </c>
      <c r="E6" s="3">
        <f>SUMIFS(Round_Results!$H:$H,Round_Results!$B:$B,$A6)</f>
        <v>362.0147997999884</v>
      </c>
      <c r="F6" s="3">
        <f>AVERAGEIFS(Round_Results!$H:$H,Round_Results!$B:$B,$A6)</f>
        <v>18.100739989999418</v>
      </c>
      <c r="G6" s="3">
        <f>SUMIFS(Round_Results!$I:$I,Round_Results!$B:$B,$A6)</f>
        <v>383</v>
      </c>
      <c r="H6" s="3">
        <f>SUMIFS(Round_Results!$J:$J,Round_Results!$B:$B,$A6)</f>
        <v>1532</v>
      </c>
      <c r="I6" s="3" t="e">
        <f ca="1">_xludf.MAXIFS(Round_Results!$K:$K,Round_Results!$B:$B,$A6,Round_Results!$A:$A,20)</f>
        <v>#NAME?</v>
      </c>
      <c r="J6" s="3">
        <f>SUMIFS(Round_Results!$U:$U,Round_Results!$B:$B,$A6)</f>
        <v>172</v>
      </c>
      <c r="K6" s="3">
        <f>SUMIFS(Round_Results!$V:$V,Round_Results!$B:$B,$A6)</f>
        <v>632</v>
      </c>
      <c r="L6" s="3">
        <f>SUMIFS(Round_Results!$W:$W,Round_Results!$B:$B,$A6)</f>
        <v>728</v>
      </c>
      <c r="M6" s="3">
        <f>SUMIFS(Round_Results!$X:$X,Round_Results!$B:$B,$A6)</f>
        <v>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selection activeCell="E25" sqref="E25"/>
    </sheetView>
  </sheetViews>
  <sheetFormatPr defaultRowHeight="13.5" x14ac:dyDescent="0.15"/>
  <cols>
    <col min="1" max="1" width="10" customWidth="1"/>
    <col min="2" max="5" width="18" customWidth="1"/>
    <col min="6" max="6" width="24" customWidth="1"/>
  </cols>
  <sheetData>
    <row r="1" spans="1:6" x14ac:dyDescent="0.15">
      <c r="A1" s="2" t="s">
        <v>18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</row>
    <row r="2" spans="1:6" x14ac:dyDescent="0.15">
      <c r="A2">
        <v>1</v>
      </c>
      <c r="B2" s="3">
        <f>SUMIFS(Round_Results!$F:$F,Round_Results!$B:$B,B$1,Round_Results!$A:$A,"&lt;="&amp;$A2)</f>
        <v>598.85191410782954</v>
      </c>
      <c r="C2" s="3">
        <f>SUMIFS(Round_Results!$F:$F,Round_Results!$B:$B,C$1,Round_Results!$A:$A,"&lt;="&amp;$A2)</f>
        <v>729.78639573294686</v>
      </c>
      <c r="D2" s="3">
        <f>SUMIFS(Round_Results!$F:$F,Round_Results!$B:$B,D$1,Round_Results!$A:$A,"&lt;="&amp;$A2)</f>
        <v>485.22813291255039</v>
      </c>
      <c r="E2" s="3">
        <f>SUMIFS(Round_Results!$F:$F,Round_Results!$B:$B,E$1,Round_Results!$A:$A,"&lt;="&amp;$A2)</f>
        <v>737.15757527606274</v>
      </c>
      <c r="F2" s="3">
        <f>SUMIFS(Round_Results!$F:$F,Round_Results!$B:$B,F$1,Round_Results!$A:$A,"&lt;="&amp;$A2)</f>
        <v>931.73030508598356</v>
      </c>
    </row>
    <row r="3" spans="1:6" x14ac:dyDescent="0.15">
      <c r="A3">
        <v>2</v>
      </c>
      <c r="B3" s="3">
        <f>SUMIFS(Round_Results!$F:$F,Round_Results!$B:$B,B$1,Round_Results!$A:$A,"&lt;="&amp;$A3)</f>
        <v>1237.1373656585142</v>
      </c>
      <c r="C3" s="3">
        <f>SUMIFS(Round_Results!$F:$F,Round_Results!$B:$B,C$1,Round_Results!$A:$A,"&lt;="&amp;$A3)</f>
        <v>1859.2408213716358</v>
      </c>
      <c r="D3" s="3">
        <f>SUMIFS(Round_Results!$F:$F,Round_Results!$B:$B,D$1,Round_Results!$A:$A,"&lt;="&amp;$A3)</f>
        <v>1614.2241980417414</v>
      </c>
      <c r="E3" s="3">
        <f>SUMIFS(Round_Results!$F:$F,Round_Results!$B:$B,E$1,Round_Results!$A:$A,"&lt;="&amp;$A3)</f>
        <v>1918.4437985108557</v>
      </c>
      <c r="F3" s="3">
        <f>SUMIFS(Round_Results!$F:$F,Round_Results!$B:$B,F$1,Round_Results!$A:$A,"&lt;="&amp;$A3)</f>
        <v>2103.9447095256915</v>
      </c>
    </row>
    <row r="4" spans="1:6" x14ac:dyDescent="0.15">
      <c r="A4">
        <v>3</v>
      </c>
      <c r="B4" s="3">
        <f>SUMIFS(Round_Results!$F:$F,Round_Results!$B:$B,B$1,Round_Results!$A:$A,"&lt;="&amp;$A4)</f>
        <v>1855.8901474942486</v>
      </c>
      <c r="C4" s="3">
        <f>SUMIFS(Round_Results!$F:$F,Round_Results!$B:$B,C$1,Round_Results!$A:$A,"&lt;="&amp;$A4)</f>
        <v>2688.8905318107991</v>
      </c>
      <c r="D4" s="3">
        <f>SUMIFS(Round_Results!$F:$F,Round_Results!$B:$B,D$1,Round_Results!$A:$A,"&lt;="&amp;$A4)</f>
        <v>2424.8636634952454</v>
      </c>
      <c r="E4" s="3">
        <f>SUMIFS(Round_Results!$F:$F,Round_Results!$B:$B,E$1,Round_Results!$A:$A,"&lt;="&amp;$A4)</f>
        <v>2802.5086149089871</v>
      </c>
      <c r="F4" s="3">
        <f>SUMIFS(Round_Results!$F:$F,Round_Results!$B:$B,F$1,Round_Results!$A:$A,"&lt;="&amp;$A4)</f>
        <v>3068.8026851989903</v>
      </c>
    </row>
    <row r="5" spans="1:6" x14ac:dyDescent="0.15">
      <c r="A5">
        <v>4</v>
      </c>
      <c r="B5" s="3">
        <f>SUMIFS(Round_Results!$F:$F,Round_Results!$B:$B,B$1,Round_Results!$A:$A,"&lt;="&amp;$A5)</f>
        <v>2432.0127443802639</v>
      </c>
      <c r="C5" s="3">
        <f>SUMIFS(Round_Results!$F:$F,Round_Results!$B:$B,C$1,Round_Results!$A:$A,"&lt;="&amp;$A5)</f>
        <v>3617.2047255608222</v>
      </c>
      <c r="D5" s="3">
        <f>SUMIFS(Round_Results!$F:$F,Round_Results!$B:$B,D$1,Round_Results!$A:$A,"&lt;="&amp;$A5)</f>
        <v>3344.5227636600971</v>
      </c>
      <c r="E5" s="3">
        <f>SUMIFS(Round_Results!$F:$F,Round_Results!$B:$B,E$1,Round_Results!$A:$A,"&lt;="&amp;$A5)</f>
        <v>3724.4160531098328</v>
      </c>
      <c r="F5" s="3">
        <f>SUMIFS(Round_Results!$F:$F,Round_Results!$B:$B,F$1,Round_Results!$A:$A,"&lt;="&amp;$A5)</f>
        <v>4117.9451402141476</v>
      </c>
    </row>
    <row r="6" spans="1:6" x14ac:dyDescent="0.15">
      <c r="A6">
        <v>5</v>
      </c>
      <c r="B6" s="3">
        <f>SUMIFS(Round_Results!$F:$F,Round_Results!$B:$B,B$1,Round_Results!$A:$A,"&lt;="&amp;$A6)</f>
        <v>2977.0819032684458</v>
      </c>
      <c r="C6" s="3">
        <f>SUMIFS(Round_Results!$F:$F,Round_Results!$B:$B,C$1,Round_Results!$A:$A,"&lt;="&amp;$A6)</f>
        <v>4366.2878322448341</v>
      </c>
      <c r="D6" s="3">
        <f>SUMIFS(Round_Results!$F:$F,Round_Results!$B:$B,D$1,Round_Results!$A:$A,"&lt;="&amp;$A6)</f>
        <v>4242.9441327642435</v>
      </c>
      <c r="E6" s="3">
        <f>SUMIFS(Round_Results!$F:$F,Round_Results!$B:$B,E$1,Round_Results!$A:$A,"&lt;="&amp;$A6)</f>
        <v>4835.6825931219737</v>
      </c>
      <c r="F6" s="3">
        <f>SUMIFS(Round_Results!$F:$F,Round_Results!$B:$B,F$1,Round_Results!$A:$A,"&lt;="&amp;$A6)</f>
        <v>5158.9543977904405</v>
      </c>
    </row>
    <row r="7" spans="1:6" x14ac:dyDescent="0.15">
      <c r="A7">
        <v>6</v>
      </c>
      <c r="B7" s="3">
        <f>SUMIFS(Round_Results!$F:$F,Round_Results!$B:$B,B$1,Round_Results!$A:$A,"&lt;="&amp;$A7)</f>
        <v>3685.4015210774141</v>
      </c>
      <c r="C7" s="3">
        <f>SUMIFS(Round_Results!$F:$F,Round_Results!$B:$B,C$1,Round_Results!$A:$A,"&lt;="&amp;$A7)</f>
        <v>5327.1559901171804</v>
      </c>
      <c r="D7" s="3">
        <f>SUMIFS(Round_Results!$F:$F,Round_Results!$B:$B,D$1,Round_Results!$A:$A,"&lt;="&amp;$A7)</f>
        <v>5039.6846447485814</v>
      </c>
      <c r="E7" s="3">
        <f>SUMIFS(Round_Results!$F:$F,Round_Results!$B:$B,E$1,Round_Results!$A:$A,"&lt;="&amp;$A7)</f>
        <v>5943.9658454768378</v>
      </c>
      <c r="F7" s="3">
        <f>SUMIFS(Round_Results!$F:$F,Round_Results!$B:$B,F$1,Round_Results!$A:$A,"&lt;="&amp;$A7)</f>
        <v>6387.2313746082264</v>
      </c>
    </row>
    <row r="8" spans="1:6" x14ac:dyDescent="0.15">
      <c r="A8">
        <v>7</v>
      </c>
      <c r="B8" s="3">
        <f>SUMIFS(Round_Results!$F:$F,Round_Results!$B:$B,B$1,Round_Results!$A:$A,"&lt;="&amp;$A8)</f>
        <v>4365.1539354668603</v>
      </c>
      <c r="C8" s="3">
        <f>SUMIFS(Round_Results!$F:$F,Round_Results!$B:$B,C$1,Round_Results!$A:$A,"&lt;="&amp;$A8)</f>
        <v>6338.0262760008563</v>
      </c>
      <c r="D8" s="3">
        <f>SUMIFS(Round_Results!$F:$F,Round_Results!$B:$B,D$1,Round_Results!$A:$A,"&lt;="&amp;$A8)</f>
        <v>6226.8344295596153</v>
      </c>
      <c r="E8" s="3">
        <f>SUMIFS(Round_Results!$F:$F,Round_Results!$B:$B,E$1,Round_Results!$A:$A,"&lt;="&amp;$A8)</f>
        <v>7119.6809147148715</v>
      </c>
      <c r="F8" s="3">
        <f>SUMIFS(Round_Results!$F:$F,Round_Results!$B:$B,F$1,Round_Results!$A:$A,"&lt;="&amp;$A8)</f>
        <v>7539.9562693960979</v>
      </c>
    </row>
    <row r="9" spans="1:6" x14ac:dyDescent="0.15">
      <c r="A9">
        <v>8</v>
      </c>
      <c r="B9" s="3">
        <f>SUMIFS(Round_Results!$F:$F,Round_Results!$B:$B,B$1,Round_Results!$A:$A,"&lt;="&amp;$A9)</f>
        <v>5308.0049684762253</v>
      </c>
      <c r="C9" s="3">
        <f>SUMIFS(Round_Results!$F:$F,Round_Results!$B:$B,C$1,Round_Results!$A:$A,"&lt;="&amp;$A9)</f>
        <v>7090.1473461850828</v>
      </c>
      <c r="D9" s="3">
        <f>SUMIFS(Round_Results!$F:$F,Round_Results!$B:$B,D$1,Round_Results!$A:$A,"&lt;="&amp;$A9)</f>
        <v>7158.8025955854519</v>
      </c>
      <c r="E9" s="3">
        <f>SUMIFS(Round_Results!$F:$F,Round_Results!$B:$B,E$1,Round_Results!$A:$A,"&lt;="&amp;$A9)</f>
        <v>7920.0735722205891</v>
      </c>
      <c r="F9" s="3">
        <f>SUMIFS(Round_Results!$F:$F,Round_Results!$B:$B,F$1,Round_Results!$A:$A,"&lt;="&amp;$A9)</f>
        <v>8558.7873852770244</v>
      </c>
    </row>
    <row r="10" spans="1:6" x14ac:dyDescent="0.15">
      <c r="A10">
        <v>9</v>
      </c>
      <c r="B10" s="3">
        <f>SUMIFS(Round_Results!$F:$F,Round_Results!$B:$B,B$1,Round_Results!$A:$A,"&lt;="&amp;$A10)</f>
        <v>6120.6699024628169</v>
      </c>
      <c r="C10" s="3">
        <f>SUMIFS(Round_Results!$F:$F,Round_Results!$B:$B,C$1,Round_Results!$A:$A,"&lt;="&amp;$A10)</f>
        <v>8222.5930603590823</v>
      </c>
      <c r="D10" s="3">
        <f>SUMIFS(Round_Results!$F:$F,Round_Results!$B:$B,D$1,Round_Results!$A:$A,"&lt;="&amp;$A10)</f>
        <v>7854.870591013183</v>
      </c>
      <c r="E10" s="3">
        <f>SUMIFS(Round_Results!$F:$F,Round_Results!$B:$B,E$1,Round_Results!$A:$A,"&lt;="&amp;$A10)</f>
        <v>8733.7830832232703</v>
      </c>
      <c r="F10" s="3">
        <f>SUMIFS(Round_Results!$F:$F,Round_Results!$B:$B,F$1,Round_Results!$A:$A,"&lt;="&amp;$A10)</f>
        <v>9570.0419018662997</v>
      </c>
    </row>
    <row r="11" spans="1:6" x14ac:dyDescent="0.15">
      <c r="A11">
        <v>10</v>
      </c>
      <c r="B11" s="3">
        <f>SUMIFS(Round_Results!$F:$F,Round_Results!$B:$B,B$1,Round_Results!$A:$A,"&lt;="&amp;$A11)</f>
        <v>6693.9070095900015</v>
      </c>
      <c r="C11" s="3">
        <f>SUMIFS(Round_Results!$F:$F,Round_Results!$B:$B,C$1,Round_Results!$A:$A,"&lt;="&amp;$A11)</f>
        <v>9090.4948296171406</v>
      </c>
      <c r="D11" s="3">
        <f>SUMIFS(Round_Results!$F:$F,Round_Results!$B:$B,D$1,Round_Results!$A:$A,"&lt;="&amp;$A11)</f>
        <v>8723.0242331412392</v>
      </c>
      <c r="E11" s="3">
        <f>SUMIFS(Round_Results!$F:$F,Round_Results!$B:$B,E$1,Round_Results!$A:$A,"&lt;="&amp;$A11)</f>
        <v>9890.3143351510298</v>
      </c>
      <c r="F11" s="3">
        <f>SUMIFS(Round_Results!$F:$F,Round_Results!$B:$B,F$1,Round_Results!$A:$A,"&lt;="&amp;$A11)</f>
        <v>10603.666553988864</v>
      </c>
    </row>
    <row r="12" spans="1:6" x14ac:dyDescent="0.15">
      <c r="A12">
        <v>11</v>
      </c>
      <c r="B12" s="3">
        <f>SUMIFS(Round_Results!$F:$F,Round_Results!$B:$B,B$1,Round_Results!$A:$A,"&lt;="&amp;$A12)</f>
        <v>7357.6486204573039</v>
      </c>
      <c r="C12" s="3">
        <f>SUMIFS(Round_Results!$F:$F,Round_Results!$B:$B,C$1,Round_Results!$A:$A,"&lt;="&amp;$A12)</f>
        <v>10169.990541914676</v>
      </c>
      <c r="D12" s="3">
        <f>SUMIFS(Round_Results!$F:$F,Round_Results!$B:$B,D$1,Round_Results!$A:$A,"&lt;="&amp;$A12)</f>
        <v>9724.5750134450354</v>
      </c>
      <c r="E12" s="3">
        <f>SUMIFS(Round_Results!$F:$F,Round_Results!$B:$B,E$1,Round_Results!$A:$A,"&lt;="&amp;$A12)</f>
        <v>10888.330910991077</v>
      </c>
      <c r="F12" s="3">
        <f>SUMIFS(Round_Results!$F:$F,Round_Results!$B:$B,F$1,Round_Results!$A:$A,"&lt;="&amp;$A12)</f>
        <v>11759.955605092797</v>
      </c>
    </row>
    <row r="13" spans="1:6" x14ac:dyDescent="0.15">
      <c r="A13">
        <v>12</v>
      </c>
      <c r="B13" s="3">
        <f>SUMIFS(Round_Results!$F:$F,Round_Results!$B:$B,B$1,Round_Results!$A:$A,"&lt;="&amp;$A13)</f>
        <v>7792.1511042750717</v>
      </c>
      <c r="C13" s="3">
        <f>SUMIFS(Round_Results!$F:$F,Round_Results!$B:$B,C$1,Round_Results!$A:$A,"&lt;="&amp;$A13)</f>
        <v>10885.465620459014</v>
      </c>
      <c r="D13" s="3">
        <f>SUMIFS(Round_Results!$F:$F,Round_Results!$B:$B,D$1,Round_Results!$A:$A,"&lt;="&amp;$A13)</f>
        <v>10966.511469031506</v>
      </c>
      <c r="E13" s="3">
        <f>SUMIFS(Round_Results!$F:$F,Round_Results!$B:$B,E$1,Round_Results!$A:$A,"&lt;="&amp;$A13)</f>
        <v>11999.350508760323</v>
      </c>
      <c r="F13" s="3">
        <f>SUMIFS(Round_Results!$F:$F,Round_Results!$B:$B,F$1,Round_Results!$A:$A,"&lt;="&amp;$A13)</f>
        <v>12775.171442021188</v>
      </c>
    </row>
    <row r="14" spans="1:6" x14ac:dyDescent="0.15">
      <c r="A14">
        <v>13</v>
      </c>
      <c r="B14" s="3">
        <f>SUMIFS(Round_Results!$F:$F,Round_Results!$B:$B,B$1,Round_Results!$A:$A,"&lt;="&amp;$A14)</f>
        <v>8546.2319499228979</v>
      </c>
      <c r="C14" s="3">
        <f>SUMIFS(Round_Results!$F:$F,Round_Results!$B:$B,C$1,Round_Results!$A:$A,"&lt;="&amp;$A14)</f>
        <v>12029.323726861179</v>
      </c>
      <c r="D14" s="3">
        <f>SUMIFS(Round_Results!$F:$F,Round_Results!$B:$B,D$1,Round_Results!$A:$A,"&lt;="&amp;$A14)</f>
        <v>11868.85012811643</v>
      </c>
      <c r="E14" s="3">
        <f>SUMIFS(Round_Results!$F:$F,Round_Results!$B:$B,E$1,Round_Results!$A:$A,"&lt;="&amp;$A14)</f>
        <v>13194.127714998533</v>
      </c>
      <c r="F14" s="3">
        <f>SUMIFS(Round_Results!$F:$F,Round_Results!$B:$B,F$1,Round_Results!$A:$A,"&lt;="&amp;$A14)</f>
        <v>13981.93025564727</v>
      </c>
    </row>
    <row r="15" spans="1:6" x14ac:dyDescent="0.15">
      <c r="A15">
        <v>14</v>
      </c>
      <c r="B15" s="3">
        <f>SUMIFS(Round_Results!$F:$F,Round_Results!$B:$B,B$1,Round_Results!$A:$A,"&lt;="&amp;$A15)</f>
        <v>9151.3163723257803</v>
      </c>
      <c r="C15" s="3">
        <f>SUMIFS(Round_Results!$F:$F,Round_Results!$B:$B,C$1,Round_Results!$A:$A,"&lt;="&amp;$A15)</f>
        <v>12791.73457496397</v>
      </c>
      <c r="D15" s="3">
        <f>SUMIFS(Round_Results!$F:$F,Round_Results!$B:$B,D$1,Round_Results!$A:$A,"&lt;="&amp;$A15)</f>
        <v>12708.877618068174</v>
      </c>
      <c r="E15" s="3">
        <f>SUMIFS(Round_Results!$F:$F,Round_Results!$B:$B,E$1,Round_Results!$A:$A,"&lt;="&amp;$A15)</f>
        <v>14228.467146620498</v>
      </c>
      <c r="F15" s="3">
        <f>SUMIFS(Round_Results!$F:$F,Round_Results!$B:$B,F$1,Round_Results!$A:$A,"&lt;="&amp;$A15)</f>
        <v>15037.359055035078</v>
      </c>
    </row>
    <row r="16" spans="1:6" x14ac:dyDescent="0.15">
      <c r="A16">
        <v>15</v>
      </c>
      <c r="B16" s="3">
        <f>SUMIFS(Round_Results!$F:$F,Round_Results!$B:$B,B$1,Round_Results!$A:$A,"&lt;="&amp;$A16)</f>
        <v>9849.2747004054891</v>
      </c>
      <c r="C16" s="3">
        <f>SUMIFS(Round_Results!$F:$F,Round_Results!$B:$B,C$1,Round_Results!$A:$A,"&lt;="&amp;$A16)</f>
        <v>13664.940816027382</v>
      </c>
      <c r="D16" s="3">
        <f>SUMIFS(Round_Results!$F:$F,Round_Results!$B:$B,D$1,Round_Results!$A:$A,"&lt;="&amp;$A16)</f>
        <v>13610.612751370869</v>
      </c>
      <c r="E16" s="3">
        <f>SUMIFS(Round_Results!$F:$F,Round_Results!$B:$B,E$1,Round_Results!$A:$A,"&lt;="&amp;$A16)</f>
        <v>15173.587076108735</v>
      </c>
      <c r="F16" s="3">
        <f>SUMIFS(Round_Results!$F:$F,Round_Results!$B:$B,F$1,Round_Results!$A:$A,"&lt;="&amp;$A16)</f>
        <v>16072.377822911218</v>
      </c>
    </row>
    <row r="17" spans="1:6" x14ac:dyDescent="0.15">
      <c r="A17">
        <v>16</v>
      </c>
      <c r="B17" s="3">
        <f>SUMIFS(Round_Results!$F:$F,Round_Results!$B:$B,B$1,Round_Results!$A:$A,"&lt;="&amp;$A17)</f>
        <v>10285.652748323448</v>
      </c>
      <c r="C17" s="3">
        <f>SUMIFS(Round_Results!$F:$F,Round_Results!$B:$B,C$1,Round_Results!$A:$A,"&lt;="&amp;$A17)</f>
        <v>14254.804491468511</v>
      </c>
      <c r="D17" s="3">
        <f>SUMIFS(Round_Results!$F:$F,Round_Results!$B:$B,D$1,Round_Results!$A:$A,"&lt;="&amp;$A17)</f>
        <v>14709.940012156279</v>
      </c>
      <c r="E17" s="3">
        <f>SUMIFS(Round_Results!$F:$F,Round_Results!$B:$B,E$1,Round_Results!$A:$A,"&lt;="&amp;$A17)</f>
        <v>16134.371552302431</v>
      </c>
      <c r="F17" s="3">
        <f>SUMIFS(Round_Results!$F:$F,Round_Results!$B:$B,F$1,Round_Results!$A:$A,"&lt;="&amp;$A17)</f>
        <v>16998.898600238412</v>
      </c>
    </row>
    <row r="18" spans="1:6" x14ac:dyDescent="0.15">
      <c r="A18">
        <v>17</v>
      </c>
      <c r="B18" s="3">
        <f>SUMIFS(Round_Results!$F:$F,Round_Results!$B:$B,B$1,Round_Results!$A:$A,"&lt;="&amp;$A18)</f>
        <v>10951.967809533999</v>
      </c>
      <c r="C18" s="3">
        <f>SUMIFS(Round_Results!$F:$F,Round_Results!$B:$B,C$1,Round_Results!$A:$A,"&lt;="&amp;$A18)</f>
        <v>15264.571043575574</v>
      </c>
      <c r="D18" s="3">
        <f>SUMIFS(Round_Results!$F:$F,Round_Results!$B:$B,D$1,Round_Results!$A:$A,"&lt;="&amp;$A18)</f>
        <v>15712.189509305814</v>
      </c>
      <c r="E18" s="3">
        <f>SUMIFS(Round_Results!$F:$F,Round_Results!$B:$B,E$1,Round_Results!$A:$A,"&lt;="&amp;$A18)</f>
        <v>17259.950436745061</v>
      </c>
      <c r="F18" s="3">
        <f>SUMIFS(Round_Results!$F:$F,Round_Results!$B:$B,F$1,Round_Results!$A:$A,"&lt;="&amp;$A18)</f>
        <v>18106.141619459624</v>
      </c>
    </row>
    <row r="19" spans="1:6" x14ac:dyDescent="0.15">
      <c r="A19">
        <v>18</v>
      </c>
      <c r="B19" s="3">
        <f>SUMIFS(Round_Results!$F:$F,Round_Results!$B:$B,B$1,Round_Results!$A:$A,"&lt;="&amp;$A19)</f>
        <v>11600.080362137585</v>
      </c>
      <c r="C19" s="3">
        <f>SUMIFS(Round_Results!$F:$F,Round_Results!$B:$B,C$1,Round_Results!$A:$A,"&lt;="&amp;$A19)</f>
        <v>16092.157283372051</v>
      </c>
      <c r="D19" s="3">
        <f>SUMIFS(Round_Results!$F:$F,Round_Results!$B:$B,D$1,Round_Results!$A:$A,"&lt;="&amp;$A19)</f>
        <v>16643.743725485823</v>
      </c>
      <c r="E19" s="3">
        <f>SUMIFS(Round_Results!$F:$F,Round_Results!$B:$B,E$1,Round_Results!$A:$A,"&lt;="&amp;$A19)</f>
        <v>18307.94489102592</v>
      </c>
      <c r="F19" s="3">
        <f>SUMIFS(Round_Results!$F:$F,Round_Results!$B:$B,F$1,Round_Results!$A:$A,"&lt;="&amp;$A19)</f>
        <v>19213.287024708716</v>
      </c>
    </row>
    <row r="20" spans="1:6" x14ac:dyDescent="0.15">
      <c r="A20">
        <v>19</v>
      </c>
      <c r="B20" s="3">
        <f>SUMIFS(Round_Results!$F:$F,Round_Results!$B:$B,B$1,Round_Results!$A:$A,"&lt;="&amp;$A20)</f>
        <v>12215.306739427146</v>
      </c>
      <c r="C20" s="3">
        <f>SUMIFS(Round_Results!$F:$F,Round_Results!$B:$B,C$1,Round_Results!$A:$A,"&lt;="&amp;$A20)</f>
        <v>16903.5851461161</v>
      </c>
      <c r="D20" s="3">
        <f>SUMIFS(Round_Results!$F:$F,Round_Results!$B:$B,D$1,Round_Results!$A:$A,"&lt;="&amp;$A20)</f>
        <v>17266.841214749038</v>
      </c>
      <c r="E20" s="3">
        <f>SUMIFS(Round_Results!$F:$F,Round_Results!$B:$B,E$1,Round_Results!$A:$A,"&lt;="&amp;$A20)</f>
        <v>19398.298592378404</v>
      </c>
      <c r="F20" s="3">
        <f>SUMIFS(Round_Results!$F:$F,Round_Results!$B:$B,F$1,Round_Results!$A:$A,"&lt;="&amp;$A20)</f>
        <v>20288.809561245682</v>
      </c>
    </row>
    <row r="21" spans="1:6" x14ac:dyDescent="0.15">
      <c r="A21">
        <v>20</v>
      </c>
      <c r="B21" s="3">
        <f>SUMIFS(Round_Results!$F:$F,Round_Results!$B:$B,B$1,Round_Results!$A:$A,"&lt;="&amp;$A21)</f>
        <v>12822.166606262592</v>
      </c>
      <c r="C21" s="3">
        <f>SUMIFS(Round_Results!$F:$F,Round_Results!$B:$B,C$1,Round_Results!$A:$A,"&lt;="&amp;$A21)</f>
        <v>17668.796458764144</v>
      </c>
      <c r="D21" s="3">
        <f>SUMIFS(Round_Results!$F:$F,Round_Results!$B:$B,D$1,Round_Results!$A:$A,"&lt;="&amp;$A21)</f>
        <v>18179.119415068293</v>
      </c>
      <c r="E21" s="3">
        <f>SUMIFS(Round_Results!$F:$F,Round_Results!$B:$B,E$1,Round_Results!$A:$A,"&lt;="&amp;$A21)</f>
        <v>20403.336193797335</v>
      </c>
      <c r="F21" s="3">
        <f>SUMIFS(Round_Results!$F:$F,Round_Results!$B:$B,F$1,Round_Results!$A:$A,"&lt;="&amp;$A21)</f>
        <v>21154.235011022669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3.5" x14ac:dyDescent="0.15"/>
  <cols>
    <col min="1" max="1" width="24" customWidth="1"/>
    <col min="2" max="5" width="16" customWidth="1"/>
  </cols>
  <sheetData>
    <row r="1" spans="1:5" x14ac:dyDescent="0.15">
      <c r="A1" s="2" t="s">
        <v>19</v>
      </c>
      <c r="B1" s="2" t="s">
        <v>132</v>
      </c>
      <c r="C1" s="2" t="s">
        <v>133</v>
      </c>
      <c r="D1" s="2" t="s">
        <v>134</v>
      </c>
      <c r="E1" s="2" t="s">
        <v>135</v>
      </c>
    </row>
    <row r="2" spans="1:5" x14ac:dyDescent="0.15">
      <c r="A2" t="s">
        <v>8</v>
      </c>
      <c r="B2" s="3">
        <f>SUMIFS(Round_Results!$U:$U,Round_Results!$B:$B,$A2)</f>
        <v>96</v>
      </c>
      <c r="C2" s="3">
        <f>SUMIFS(Round_Results!$V:$V,Round_Results!$B:$B,$A2)</f>
        <v>388</v>
      </c>
      <c r="D2" s="3">
        <f>SUMIFS(Round_Results!$W:$W,Round_Results!$B:$B,$A2)</f>
        <v>520</v>
      </c>
      <c r="E2" s="3">
        <f>SUMIFS(Round_Results!$X:$X,Round_Results!$B:$B,$A2)</f>
        <v>420</v>
      </c>
    </row>
    <row r="3" spans="1:5" x14ac:dyDescent="0.15">
      <c r="A3" t="s">
        <v>10</v>
      </c>
      <c r="B3" s="3">
        <f>SUMIFS(Round_Results!$U:$U,Round_Results!$B:$B,$A3)</f>
        <v>132</v>
      </c>
      <c r="C3" s="3">
        <f>SUMIFS(Round_Results!$V:$V,Round_Results!$B:$B,$A3)</f>
        <v>576</v>
      </c>
      <c r="D3" s="3">
        <f>SUMIFS(Round_Results!$W:$W,Round_Results!$B:$B,$A3)</f>
        <v>528</v>
      </c>
      <c r="E3" s="3">
        <f>SUMIFS(Round_Results!$X:$X,Round_Results!$B:$B,$A3)</f>
        <v>232</v>
      </c>
    </row>
    <row r="4" spans="1:5" x14ac:dyDescent="0.15">
      <c r="A4" t="s">
        <v>12</v>
      </c>
      <c r="B4" s="3">
        <f>SUMIFS(Round_Results!$U:$U,Round_Results!$B:$B,$A4)</f>
        <v>132</v>
      </c>
      <c r="C4" s="3">
        <f>SUMIFS(Round_Results!$V:$V,Round_Results!$B:$B,$A4)</f>
        <v>504</v>
      </c>
      <c r="D4" s="3">
        <f>SUMIFS(Round_Results!$W:$W,Round_Results!$B:$B,$A4)</f>
        <v>772</v>
      </c>
      <c r="E4" s="3">
        <f>SUMIFS(Round_Results!$X:$X,Round_Results!$B:$B,$A4)</f>
        <v>0</v>
      </c>
    </row>
    <row r="5" spans="1:5" x14ac:dyDescent="0.15">
      <c r="A5" t="s">
        <v>14</v>
      </c>
      <c r="B5" s="3">
        <f>SUMIFS(Round_Results!$U:$U,Round_Results!$B:$B,$A5)</f>
        <v>164</v>
      </c>
      <c r="C5" s="3">
        <f>SUMIFS(Round_Results!$V:$V,Round_Results!$B:$B,$A5)</f>
        <v>584</v>
      </c>
      <c r="D5" s="3">
        <f>SUMIFS(Round_Results!$W:$W,Round_Results!$B:$B,$A5)</f>
        <v>732</v>
      </c>
      <c r="E5" s="3">
        <f>SUMIFS(Round_Results!$X:$X,Round_Results!$B:$B,$A5)</f>
        <v>4</v>
      </c>
    </row>
    <row r="6" spans="1:5" x14ac:dyDescent="0.15">
      <c r="A6" t="s">
        <v>16</v>
      </c>
      <c r="B6" s="3">
        <f>SUMIFS(Round_Results!$U:$U,Round_Results!$B:$B,$A6)</f>
        <v>172</v>
      </c>
      <c r="C6" s="3">
        <f>SUMIFS(Round_Results!$V:$V,Round_Results!$B:$B,$A6)</f>
        <v>632</v>
      </c>
      <c r="D6" s="3">
        <f>SUMIFS(Round_Results!$W:$W,Round_Results!$B:$B,$A6)</f>
        <v>728</v>
      </c>
      <c r="E6" s="3">
        <f>SUMIFS(Round_Results!$X:$X,Round_Results!$B:$B,$A6)</f>
        <v>0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/>
  </sheetViews>
  <sheetFormatPr defaultRowHeight="13.5" x14ac:dyDescent="0.15"/>
  <cols>
    <col min="1" max="1" width="10" customWidth="1"/>
    <col min="2" max="5" width="18" customWidth="1"/>
    <col min="6" max="6" width="24" customWidth="1"/>
  </cols>
  <sheetData>
    <row r="1" spans="1:6" x14ac:dyDescent="0.15">
      <c r="A1" s="2" t="s">
        <v>18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</row>
    <row r="2" spans="1:6" x14ac:dyDescent="0.15">
      <c r="A2">
        <v>1</v>
      </c>
      <c r="B2" s="3">
        <f>SUMIFS(Round_Results!$H:$H,Round_Results!$B:$B,B$1,Round_Results!$A:$A,$A2)</f>
        <v>0.13433110000914891</v>
      </c>
      <c r="C2" s="3">
        <f>SUMIFS(Round_Results!$H:$H,Round_Results!$B:$B,C$1,Round_Results!$A:$A,$A2)</f>
        <v>0.34561449999455363</v>
      </c>
      <c r="D2" s="3">
        <f>SUMIFS(Round_Results!$H:$H,Round_Results!$B:$B,D$1,Round_Results!$A:$A,$A2)</f>
        <v>4.3470270999969216</v>
      </c>
      <c r="E2" s="3">
        <f>SUMIFS(Round_Results!$H:$H,Round_Results!$B:$B,E$1,Round_Results!$A:$A,$A2)</f>
        <v>4.0831760000000941</v>
      </c>
      <c r="F2" s="3">
        <f>SUMIFS(Round_Results!$H:$H,Round_Results!$B:$B,F$1,Round_Results!$A:$A,$A2)</f>
        <v>3.7565731000067899</v>
      </c>
    </row>
    <row r="3" spans="1:6" x14ac:dyDescent="0.15">
      <c r="A3">
        <v>2</v>
      </c>
      <c r="B3" s="3">
        <f>SUMIFS(Round_Results!$H:$H,Round_Results!$B:$B,B$1,Round_Results!$A:$A,$A3)</f>
        <v>0.12143500000820499</v>
      </c>
      <c r="C3" s="3">
        <f>SUMIFS(Round_Results!$H:$H,Round_Results!$B:$B,C$1,Round_Results!$A:$A,$A3)</f>
        <v>0.62302150001050904</v>
      </c>
      <c r="D3" s="3">
        <f>SUMIFS(Round_Results!$H:$H,Round_Results!$B:$B,D$1,Round_Results!$A:$A,$A3)</f>
        <v>5.7098663999931887</v>
      </c>
      <c r="E3" s="3">
        <f>SUMIFS(Round_Results!$H:$H,Round_Results!$B:$B,E$1,Round_Results!$A:$A,$A3)</f>
        <v>1.874379199987743</v>
      </c>
      <c r="F3" s="3">
        <f>SUMIFS(Round_Results!$H:$H,Round_Results!$B:$B,F$1,Round_Results!$A:$A,$A3)</f>
        <v>4.5933176000107778</v>
      </c>
    </row>
    <row r="4" spans="1:6" x14ac:dyDescent="0.15">
      <c r="A4">
        <v>3</v>
      </c>
      <c r="B4" s="3">
        <f>SUMIFS(Round_Results!$H:$H,Round_Results!$B:$B,B$1,Round_Results!$A:$A,$A4)</f>
        <v>6.0839300000225187E-2</v>
      </c>
      <c r="C4" s="3">
        <f>SUMIFS(Round_Results!$H:$H,Round_Results!$B:$B,C$1,Round_Results!$A:$A,$A4)</f>
        <v>0.55620279999857303</v>
      </c>
      <c r="D4" s="3">
        <f>SUMIFS(Round_Results!$H:$H,Round_Results!$B:$B,D$1,Round_Results!$A:$A,$A4)</f>
        <v>13.287721899992899</v>
      </c>
      <c r="E4" s="3">
        <f>SUMIFS(Round_Results!$H:$H,Round_Results!$B:$B,E$1,Round_Results!$A:$A,$A4)</f>
        <v>14.3852704000019</v>
      </c>
      <c r="F4" s="3">
        <f>SUMIFS(Round_Results!$H:$H,Round_Results!$B:$B,F$1,Round_Results!$A:$A,$A4)</f>
        <v>8.8709478000091622</v>
      </c>
    </row>
    <row r="5" spans="1:6" x14ac:dyDescent="0.15">
      <c r="A5">
        <v>4</v>
      </c>
      <c r="B5" s="3">
        <f>SUMIFS(Round_Results!$H:$H,Round_Results!$B:$B,B$1,Round_Results!$A:$A,$A5)</f>
        <v>0.17406800000753719</v>
      </c>
      <c r="C5" s="3">
        <f>SUMIFS(Round_Results!$H:$H,Round_Results!$B:$B,C$1,Round_Results!$A:$A,$A5)</f>
        <v>0.65071330001228489</v>
      </c>
      <c r="D5" s="3">
        <f>SUMIFS(Round_Results!$H:$H,Round_Results!$B:$B,D$1,Round_Results!$A:$A,$A5)</f>
        <v>21.56027010000253</v>
      </c>
      <c r="E5" s="3">
        <f>SUMIFS(Round_Results!$H:$H,Round_Results!$B:$B,E$1,Round_Results!$A:$A,$A5)</f>
        <v>21.799088499989011</v>
      </c>
      <c r="F5" s="3">
        <f>SUMIFS(Round_Results!$H:$H,Round_Results!$B:$B,F$1,Round_Results!$A:$A,$A5)</f>
        <v>50.444014599997899</v>
      </c>
    </row>
    <row r="6" spans="1:6" x14ac:dyDescent="0.15">
      <c r="A6">
        <v>5</v>
      </c>
      <c r="B6" s="3">
        <f>SUMIFS(Round_Results!$H:$H,Round_Results!$B:$B,B$1,Round_Results!$A:$A,$A6)</f>
        <v>0.11558610000065531</v>
      </c>
      <c r="C6" s="3">
        <f>SUMIFS(Round_Results!$H:$H,Round_Results!$B:$B,C$1,Round_Results!$A:$A,$A6)</f>
        <v>0.64561980000871699</v>
      </c>
      <c r="D6" s="3">
        <f>SUMIFS(Round_Results!$H:$H,Round_Results!$B:$B,D$1,Round_Results!$A:$A,$A6)</f>
        <v>25.801190099999079</v>
      </c>
      <c r="E6" s="3">
        <f>SUMIFS(Round_Results!$H:$H,Round_Results!$B:$B,E$1,Round_Results!$A:$A,$A6)</f>
        <v>4.6027505999954883</v>
      </c>
      <c r="F6" s="3">
        <f>SUMIFS(Round_Results!$H:$H,Round_Results!$B:$B,F$1,Round_Results!$A:$A,$A6)</f>
        <v>72.249734900004114</v>
      </c>
    </row>
    <row r="7" spans="1:6" x14ac:dyDescent="0.15">
      <c r="A7">
        <v>6</v>
      </c>
      <c r="B7" s="3">
        <f>SUMIFS(Round_Results!$H:$H,Round_Results!$B:$B,B$1,Round_Results!$A:$A,$A7)</f>
        <v>0.17988159999367781</v>
      </c>
      <c r="C7" s="3">
        <f>SUMIFS(Round_Results!$H:$H,Round_Results!$B:$B,C$1,Round_Results!$A:$A,$A7)</f>
        <v>0.74512229999527335</v>
      </c>
      <c r="D7" s="3">
        <f>SUMIFS(Round_Results!$H:$H,Round_Results!$B:$B,D$1,Round_Results!$A:$A,$A7)</f>
        <v>31.924383400008079</v>
      </c>
      <c r="E7" s="3">
        <f>SUMIFS(Round_Results!$H:$H,Round_Results!$B:$B,E$1,Round_Results!$A:$A,$A7)</f>
        <v>34.056099900000852</v>
      </c>
      <c r="F7" s="3">
        <f>SUMIFS(Round_Results!$H:$H,Round_Results!$B:$B,F$1,Round_Results!$A:$A,$A7)</f>
        <v>13.25939919998928</v>
      </c>
    </row>
    <row r="8" spans="1:6" x14ac:dyDescent="0.15">
      <c r="A8">
        <v>7</v>
      </c>
      <c r="B8" s="3">
        <f>SUMIFS(Round_Results!$H:$H,Round_Results!$B:$B,B$1,Round_Results!$A:$A,$A8)</f>
        <v>0.21767719999479601</v>
      </c>
      <c r="C8" s="3">
        <f>SUMIFS(Round_Results!$H:$H,Round_Results!$B:$B,C$1,Round_Results!$A:$A,$A8)</f>
        <v>0.79245359999185894</v>
      </c>
      <c r="D8" s="3">
        <f>SUMIFS(Round_Results!$H:$H,Round_Results!$B:$B,D$1,Round_Results!$A:$A,$A8)</f>
        <v>25.427080699999351</v>
      </c>
      <c r="E8" s="3">
        <f>SUMIFS(Round_Results!$H:$H,Round_Results!$B:$B,E$1,Round_Results!$A:$A,$A8)</f>
        <v>4.9611791999923298</v>
      </c>
      <c r="F8" s="3">
        <f>SUMIFS(Round_Results!$H:$H,Round_Results!$B:$B,F$1,Round_Results!$A:$A,$A8)</f>
        <v>38.365345899990643</v>
      </c>
    </row>
    <row r="9" spans="1:6" x14ac:dyDescent="0.15">
      <c r="A9">
        <v>8</v>
      </c>
      <c r="B9" s="3">
        <f>SUMIFS(Round_Results!$H:$H,Round_Results!$B:$B,B$1,Round_Results!$A:$A,$A9)</f>
        <v>0.1006785000063246</v>
      </c>
      <c r="C9" s="3">
        <f>SUMIFS(Round_Results!$H:$H,Round_Results!$B:$B,C$1,Round_Results!$A:$A,$A9)</f>
        <v>0.78346629999577999</v>
      </c>
      <c r="D9" s="3">
        <f>SUMIFS(Round_Results!$H:$H,Round_Results!$B:$B,D$1,Round_Results!$A:$A,$A9)</f>
        <v>40.627208000005339</v>
      </c>
      <c r="E9" s="3">
        <f>SUMIFS(Round_Results!$H:$H,Round_Results!$B:$B,E$1,Round_Results!$A:$A,$A9)</f>
        <v>42.567526899991208</v>
      </c>
      <c r="F9" s="3">
        <f>SUMIFS(Round_Results!$H:$H,Round_Results!$B:$B,F$1,Round_Results!$A:$A,$A9)</f>
        <v>16.122689299998459</v>
      </c>
    </row>
    <row r="10" spans="1:6" x14ac:dyDescent="0.15">
      <c r="A10">
        <v>9</v>
      </c>
      <c r="B10" s="3">
        <f>SUMIFS(Round_Results!$H:$H,Round_Results!$B:$B,B$1,Round_Results!$A:$A,$A10)</f>
        <v>0.14604589999362361</v>
      </c>
      <c r="C10" s="3">
        <f>SUMIFS(Round_Results!$H:$H,Round_Results!$B:$B,C$1,Round_Results!$A:$A,$A10)</f>
        <v>0.81114350000279956</v>
      </c>
      <c r="D10" s="3">
        <f>SUMIFS(Round_Results!$H:$H,Round_Results!$B:$B,D$1,Round_Results!$A:$A,$A10)</f>
        <v>47.816438299996662</v>
      </c>
      <c r="E10" s="3">
        <f>SUMIFS(Round_Results!$H:$H,Round_Results!$B:$B,E$1,Round_Results!$A:$A,$A10)</f>
        <v>52.640713799992227</v>
      </c>
      <c r="F10" s="3">
        <f>SUMIFS(Round_Results!$H:$H,Round_Results!$B:$B,F$1,Round_Results!$A:$A,$A10)</f>
        <v>12.3711040999915</v>
      </c>
    </row>
    <row r="11" spans="1:6" x14ac:dyDescent="0.15">
      <c r="A11">
        <v>10</v>
      </c>
      <c r="B11" s="3">
        <f>SUMIFS(Round_Results!$H:$H,Round_Results!$B:$B,B$1,Round_Results!$A:$A,$A11)</f>
        <v>0.11622680000436959</v>
      </c>
      <c r="C11" s="3">
        <f>SUMIFS(Round_Results!$H:$H,Round_Results!$B:$B,C$1,Round_Results!$A:$A,$A11)</f>
        <v>0.99240000000281725</v>
      </c>
      <c r="D11" s="3">
        <f>SUMIFS(Round_Results!$H:$H,Round_Results!$B:$B,D$1,Round_Results!$A:$A,$A11)</f>
        <v>59.111952199993539</v>
      </c>
      <c r="E11" s="3">
        <f>SUMIFS(Round_Results!$H:$H,Round_Results!$B:$B,E$1,Round_Results!$A:$A,$A11)</f>
        <v>8.5429385000024922</v>
      </c>
      <c r="F11" s="3">
        <f>SUMIFS(Round_Results!$H:$H,Round_Results!$B:$B,F$1,Round_Results!$A:$A,$A11)</f>
        <v>12.41795669999556</v>
      </c>
    </row>
    <row r="12" spans="1:6" x14ac:dyDescent="0.15">
      <c r="A12">
        <v>11</v>
      </c>
      <c r="B12" s="3">
        <f>SUMIFS(Round_Results!$H:$H,Round_Results!$B:$B,B$1,Round_Results!$A:$A,$A12)</f>
        <v>9.5026499999221414E-2</v>
      </c>
      <c r="C12" s="3">
        <f>SUMIFS(Round_Results!$H:$H,Round_Results!$B:$B,C$1,Round_Results!$A:$A,$A12)</f>
        <v>1.2966200000082611</v>
      </c>
      <c r="D12" s="3">
        <f>SUMIFS(Round_Results!$H:$H,Round_Results!$B:$B,D$1,Round_Results!$A:$A,$A12)</f>
        <v>61.808197899998049</v>
      </c>
      <c r="E12" s="3">
        <f>SUMIFS(Round_Results!$H:$H,Round_Results!$B:$B,E$1,Round_Results!$A:$A,$A12)</f>
        <v>75.095165700011421</v>
      </c>
      <c r="F12" s="3">
        <f>SUMIFS(Round_Results!$H:$H,Round_Results!$B:$B,F$1,Round_Results!$A:$A,$A12)</f>
        <v>8.1961952999990899</v>
      </c>
    </row>
    <row r="13" spans="1:6" x14ac:dyDescent="0.15">
      <c r="A13">
        <v>12</v>
      </c>
      <c r="B13" s="3">
        <f>SUMIFS(Round_Results!$H:$H,Round_Results!$B:$B,B$1,Round_Results!$A:$A,$A13)</f>
        <v>0.16840280000178609</v>
      </c>
      <c r="C13" s="3">
        <f>SUMIFS(Round_Results!$H:$H,Round_Results!$B:$B,C$1,Round_Results!$A:$A,$A13)</f>
        <v>0.76132499999948777</v>
      </c>
      <c r="D13" s="3">
        <f>SUMIFS(Round_Results!$H:$H,Round_Results!$B:$B,D$1,Round_Results!$A:$A,$A13)</f>
        <v>60.84674220001034</v>
      </c>
      <c r="E13" s="3">
        <f>SUMIFS(Round_Results!$H:$H,Round_Results!$B:$B,E$1,Round_Results!$A:$A,$A13)</f>
        <v>82.060211699994397</v>
      </c>
      <c r="F13" s="3">
        <f>SUMIFS(Round_Results!$H:$H,Round_Results!$B:$B,F$1,Round_Results!$A:$A,$A13)</f>
        <v>10.3014863999997</v>
      </c>
    </row>
    <row r="14" spans="1:6" x14ac:dyDescent="0.15">
      <c r="A14">
        <v>13</v>
      </c>
      <c r="B14" s="3">
        <f>SUMIFS(Round_Results!$H:$H,Round_Results!$B:$B,B$1,Round_Results!$A:$A,$A14)</f>
        <v>0.10133489999861919</v>
      </c>
      <c r="C14" s="3">
        <f>SUMIFS(Round_Results!$H:$H,Round_Results!$B:$B,C$1,Round_Results!$A:$A,$A14)</f>
        <v>0.9682427999941865</v>
      </c>
      <c r="D14" s="3">
        <f>SUMIFS(Round_Results!$H:$H,Round_Results!$B:$B,D$1,Round_Results!$A:$A,$A14)</f>
        <v>74.068249999996624</v>
      </c>
      <c r="E14" s="3">
        <f>SUMIFS(Round_Results!$H:$H,Round_Results!$B:$B,E$1,Round_Results!$A:$A,$A14)</f>
        <v>88.462960400007432</v>
      </c>
      <c r="F14" s="3">
        <f>SUMIFS(Round_Results!$H:$H,Round_Results!$B:$B,F$1,Round_Results!$A:$A,$A14)</f>
        <v>12.240394899999959</v>
      </c>
    </row>
    <row r="15" spans="1:6" x14ac:dyDescent="0.15">
      <c r="A15">
        <v>14</v>
      </c>
      <c r="B15" s="3">
        <f>SUMIFS(Round_Results!$H:$H,Round_Results!$B:$B,B$1,Round_Results!$A:$A,$A15)</f>
        <v>0.16203150000364991</v>
      </c>
      <c r="C15" s="3">
        <f>SUMIFS(Round_Results!$H:$H,Round_Results!$B:$B,C$1,Round_Results!$A:$A,$A15)</f>
        <v>1.25057379998907</v>
      </c>
      <c r="D15" s="3">
        <f>SUMIFS(Round_Results!$H:$H,Round_Results!$B:$B,D$1,Round_Results!$A:$A,$A15)</f>
        <v>78.484622799995122</v>
      </c>
      <c r="E15" s="3">
        <f>SUMIFS(Round_Results!$H:$H,Round_Results!$B:$B,E$1,Round_Results!$A:$A,$A15)</f>
        <v>96.81736980000278</v>
      </c>
      <c r="F15" s="3">
        <f>SUMIFS(Round_Results!$H:$H,Round_Results!$B:$B,F$1,Round_Results!$A:$A,$A15)</f>
        <v>7.0995718000049237</v>
      </c>
    </row>
    <row r="16" spans="1:6" x14ac:dyDescent="0.15">
      <c r="A16">
        <v>15</v>
      </c>
      <c r="B16" s="3">
        <f>SUMIFS(Round_Results!$H:$H,Round_Results!$B:$B,B$1,Round_Results!$A:$A,$A16)</f>
        <v>0.19281829999818001</v>
      </c>
      <c r="C16" s="3">
        <f>SUMIFS(Round_Results!$H:$H,Round_Results!$B:$B,C$1,Round_Results!$A:$A,$A16)</f>
        <v>1.1228483000013509</v>
      </c>
      <c r="D16" s="3">
        <f>SUMIFS(Round_Results!$H:$H,Round_Results!$B:$B,D$1,Round_Results!$A:$A,$A16)</f>
        <v>83.398936000012327</v>
      </c>
      <c r="E16" s="3">
        <f>SUMIFS(Round_Results!$H:$H,Round_Results!$B:$B,E$1,Round_Results!$A:$A,$A16)</f>
        <v>103.95454530000281</v>
      </c>
      <c r="F16" s="3">
        <f>SUMIFS(Round_Results!$H:$H,Round_Results!$B:$B,F$1,Round_Results!$A:$A,$A16)</f>
        <v>20.957238799994229</v>
      </c>
    </row>
    <row r="17" spans="1:6" x14ac:dyDescent="0.15">
      <c r="A17">
        <v>16</v>
      </c>
      <c r="B17" s="3">
        <f>SUMIFS(Round_Results!$H:$H,Round_Results!$B:$B,B$1,Round_Results!$A:$A,$A17)</f>
        <v>6.2107100005960092E-2</v>
      </c>
      <c r="C17" s="3">
        <f>SUMIFS(Round_Results!$H:$H,Round_Results!$B:$B,C$1,Round_Results!$A:$A,$A17)</f>
        <v>1.064143099996727</v>
      </c>
      <c r="D17" s="3">
        <f>SUMIFS(Round_Results!$H:$H,Round_Results!$B:$B,D$1,Round_Results!$A:$A,$A17)</f>
        <v>82.530432500003371</v>
      </c>
      <c r="E17" s="3">
        <f>SUMIFS(Round_Results!$H:$H,Round_Results!$B:$B,E$1,Round_Results!$A:$A,$A17)</f>
        <v>118.1221476000064</v>
      </c>
      <c r="F17" s="3">
        <f>SUMIFS(Round_Results!$H:$H,Round_Results!$B:$B,F$1,Round_Results!$A:$A,$A17)</f>
        <v>8.6108842999965418</v>
      </c>
    </row>
    <row r="18" spans="1:6" x14ac:dyDescent="0.15">
      <c r="A18">
        <v>17</v>
      </c>
      <c r="B18" s="3">
        <f>SUMIFS(Round_Results!$H:$H,Round_Results!$B:$B,B$1,Round_Results!$A:$A,$A18)</f>
        <v>0.1324344000022393</v>
      </c>
      <c r="C18" s="3">
        <f>SUMIFS(Round_Results!$H:$H,Round_Results!$B:$B,C$1,Round_Results!$A:$A,$A18)</f>
        <v>1.2797804000001629</v>
      </c>
      <c r="D18" s="3">
        <f>SUMIFS(Round_Results!$H:$H,Round_Results!$B:$B,D$1,Round_Results!$A:$A,$A18)</f>
        <v>82.423209800006589</v>
      </c>
      <c r="E18" s="3">
        <f>SUMIFS(Round_Results!$H:$H,Round_Results!$B:$B,E$1,Round_Results!$A:$A,$A18)</f>
        <v>130.89503980000151</v>
      </c>
      <c r="F18" s="3">
        <f>SUMIFS(Round_Results!$H:$H,Round_Results!$B:$B,F$1,Round_Results!$A:$A,$A18)</f>
        <v>13.00229230000696</v>
      </c>
    </row>
    <row r="19" spans="1:6" x14ac:dyDescent="0.15">
      <c r="A19">
        <v>18</v>
      </c>
      <c r="B19" s="3">
        <f>SUMIFS(Round_Results!$H:$H,Round_Results!$B:$B,B$1,Round_Results!$A:$A,$A19)</f>
        <v>9.8375799992936663E-2</v>
      </c>
      <c r="C19" s="3">
        <f>SUMIFS(Round_Results!$H:$H,Round_Results!$B:$B,C$1,Round_Results!$A:$A,$A19)</f>
        <v>1.0352993999986211</v>
      </c>
      <c r="D19" s="3">
        <f>SUMIFS(Round_Results!$H:$H,Round_Results!$B:$B,D$1,Round_Results!$A:$A,$A19)</f>
        <v>89.113480400003027</v>
      </c>
      <c r="E19" s="3">
        <f>SUMIFS(Round_Results!$H:$H,Round_Results!$B:$B,E$1,Round_Results!$A:$A,$A19)</f>
        <v>142.53227580001109</v>
      </c>
      <c r="F19" s="3">
        <f>SUMIFS(Round_Results!$H:$H,Round_Results!$B:$B,F$1,Round_Results!$A:$A,$A19)</f>
        <v>35.450215399992892</v>
      </c>
    </row>
    <row r="20" spans="1:6" x14ac:dyDescent="0.15">
      <c r="A20">
        <v>19</v>
      </c>
      <c r="B20" s="3">
        <f>SUMIFS(Round_Results!$H:$H,Round_Results!$B:$B,B$1,Round_Results!$A:$A,$A20)</f>
        <v>0.1698866999940947</v>
      </c>
      <c r="C20" s="3">
        <f>SUMIFS(Round_Results!$H:$H,Round_Results!$B:$B,C$1,Round_Results!$A:$A,$A20)</f>
        <v>1.172690599996713</v>
      </c>
      <c r="D20" s="3">
        <f>SUMIFS(Round_Results!$H:$H,Round_Results!$B:$B,D$1,Round_Results!$A:$A,$A20)</f>
        <v>100.209614700012</v>
      </c>
      <c r="E20" s="3">
        <f>SUMIFS(Round_Results!$H:$H,Round_Results!$B:$B,E$1,Round_Results!$A:$A,$A20)</f>
        <v>149.51208699999549</v>
      </c>
      <c r="F20" s="3">
        <f>SUMIFS(Round_Results!$H:$H,Round_Results!$B:$B,F$1,Round_Results!$A:$A,$A20)</f>
        <v>9.9959315999876708</v>
      </c>
    </row>
    <row r="21" spans="1:6" x14ac:dyDescent="0.15">
      <c r="A21">
        <v>20</v>
      </c>
      <c r="B21" s="3">
        <f>SUMIFS(Round_Results!$H:$H,Round_Results!$B:$B,B$1,Round_Results!$A:$A,$A21)</f>
        <v>9.5676299999468029E-2</v>
      </c>
      <c r="C21" s="3">
        <f>SUMIFS(Round_Results!$H:$H,Round_Results!$B:$B,C$1,Round_Results!$A:$A,$A21)</f>
        <v>1.2923898000008189</v>
      </c>
      <c r="D21" s="3">
        <f>SUMIFS(Round_Results!$H:$H,Round_Results!$B:$B,D$1,Round_Results!$A:$A,$A21)</f>
        <v>107.88006380001021</v>
      </c>
      <c r="E21" s="3">
        <f>SUMIFS(Round_Results!$H:$H,Round_Results!$B:$B,E$1,Round_Results!$A:$A,$A21)</f>
        <v>159.41619759998869</v>
      </c>
      <c r="F21" s="3">
        <f>SUMIFS(Round_Results!$H:$H,Round_Results!$B:$B,F$1,Round_Results!$A:$A,$A21)</f>
        <v>3.7095058000122658</v>
      </c>
    </row>
  </sheetData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tabSelected="1" topLeftCell="M22" zoomScale="160" zoomScaleNormal="160" workbookViewId="0">
      <selection activeCell="Z48" sqref="Z48"/>
    </sheetView>
  </sheetViews>
  <sheetFormatPr defaultRowHeight="13.5" x14ac:dyDescent="0.15"/>
  <sheetData/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Round_Results</vt:lpstr>
      <vt:lpstr>Method_Summary</vt:lpstr>
      <vt:lpstr>ChartData_CumReward</vt:lpstr>
      <vt:lpstr>ChartData_TierCells</vt:lpstr>
      <vt:lpstr>ChartData_Runtime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楷然 金</cp:lastModifiedBy>
  <dcterms:created xsi:type="dcterms:W3CDTF">2026-03-15T07:37:36Z</dcterms:created>
  <dcterms:modified xsi:type="dcterms:W3CDTF">2026-03-15T08:28:10Z</dcterms:modified>
</cp:coreProperties>
</file>